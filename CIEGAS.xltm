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LAMPBR\OneDrive - Idaho National Laboratory\Documents\0 CIE\SupplyChainCIEToolAid\"/>
    </mc:Choice>
  </mc:AlternateContent>
  <xr:revisionPtr revIDLastSave="0" documentId="13_ncr:1_{0019630D-4155-4A43-A8C5-BF7225431335}" xr6:coauthVersionLast="47" xr6:coauthVersionMax="47" xr10:uidLastSave="{00000000-0000-0000-0000-000000000000}"/>
  <bookViews>
    <workbookView xWindow="-120" yWindow="-120" windowWidth="29040" windowHeight="15720" tabRatio="738" firstSheet="1" activeTab="3" xr2:uid="{00000000-000D-0000-FFFF-FFFF00000000}"/>
  </bookViews>
  <sheets>
    <sheet name="Lookups (Keep Hidden)" sheetId="1" state="hidden" r:id="rId1"/>
    <sheet name="CIEGAS Project Details" sheetId="2" r:id="rId2"/>
    <sheet name="NOTICE" sheetId="3" r:id="rId3"/>
    <sheet name="Step 1 - System Definition" sheetId="5" r:id="rId4"/>
    <sheet name="Step 2 - Service Definition" sheetId="7" r:id="rId5"/>
    <sheet name="Step 3 - Consequence Analysis" sheetId="9" r:id="rId6"/>
    <sheet name="Step 4 - Mitigation Analysis" sheetId="10"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3" i="10" l="1"/>
  <c r="C32" i="10"/>
  <c r="C31" i="10"/>
  <c r="C30" i="10"/>
  <c r="C29" i="10"/>
  <c r="C28" i="10"/>
  <c r="C27" i="10"/>
  <c r="C26" i="10"/>
  <c r="C25" i="10"/>
  <c r="C24" i="10"/>
  <c r="E94" i="9"/>
  <c r="F94" i="9"/>
  <c r="D94" i="9"/>
  <c r="E91" i="9"/>
  <c r="F91" i="9"/>
  <c r="D91" i="9"/>
  <c r="E88" i="9"/>
  <c r="F88" i="9"/>
  <c r="D88" i="9"/>
  <c r="E85" i="9"/>
  <c r="F85" i="9"/>
  <c r="D85" i="9"/>
  <c r="E82" i="9"/>
  <c r="F82" i="9"/>
  <c r="D82" i="9"/>
  <c r="C94" i="9"/>
  <c r="C91" i="9"/>
  <c r="C88" i="9"/>
  <c r="C85" i="9"/>
  <c r="C82" i="9"/>
  <c r="C79" i="9"/>
  <c r="C76" i="9"/>
  <c r="C73" i="9"/>
  <c r="C70" i="9"/>
  <c r="E70" i="9"/>
  <c r="F70" i="9"/>
  <c r="D70" i="9"/>
  <c r="E67" i="9"/>
  <c r="F67" i="9"/>
  <c r="E64" i="9"/>
  <c r="D67" i="9"/>
  <c r="C67" i="9"/>
  <c r="F64" i="9"/>
  <c r="F61" i="9"/>
  <c r="F58" i="9"/>
  <c r="F55" i="9"/>
  <c r="F52" i="9"/>
  <c r="F49" i="9"/>
  <c r="F46" i="9"/>
  <c r="F43" i="9"/>
  <c r="F40" i="9"/>
  <c r="F37" i="9"/>
  <c r="F34" i="9"/>
  <c r="F31" i="9"/>
  <c r="F28" i="9"/>
  <c r="F25" i="9"/>
  <c r="F22" i="9"/>
  <c r="F19" i="9"/>
  <c r="F16" i="9"/>
  <c r="F13" i="9"/>
  <c r="F10" i="9"/>
  <c r="F7" i="9"/>
  <c r="D64" i="9"/>
  <c r="E61" i="9"/>
  <c r="D61" i="9"/>
  <c r="D58" i="9"/>
  <c r="E58" i="9"/>
  <c r="E55" i="9"/>
  <c r="D55" i="9"/>
  <c r="C64" i="9"/>
  <c r="C61" i="9"/>
  <c r="C58" i="9"/>
  <c r="C55" i="9"/>
  <c r="C52" i="9"/>
  <c r="C49" i="9"/>
  <c r="C46" i="9"/>
  <c r="C43" i="9"/>
  <c r="C40" i="9"/>
  <c r="C37" i="9"/>
  <c r="C34" i="9"/>
  <c r="C31" i="9"/>
  <c r="C28" i="9"/>
  <c r="C25" i="9"/>
  <c r="C22" i="9"/>
  <c r="E52" i="9"/>
  <c r="D52" i="9"/>
  <c r="D49" i="9"/>
  <c r="E49" i="9"/>
  <c r="E46" i="9"/>
  <c r="D46" i="9"/>
  <c r="D43" i="9"/>
  <c r="E43" i="9"/>
  <c r="E40" i="9"/>
  <c r="D40" i="9"/>
  <c r="E37" i="9"/>
  <c r="D37" i="9"/>
  <c r="E34" i="9"/>
  <c r="D34" i="9"/>
  <c r="E31" i="9"/>
  <c r="D31" i="9"/>
  <c r="E28" i="9"/>
  <c r="D28" i="9"/>
  <c r="E25" i="9"/>
  <c r="D25" i="9"/>
  <c r="E22" i="9"/>
  <c r="D22" i="9"/>
  <c r="E19" i="9"/>
  <c r="D19" i="9"/>
  <c r="E16" i="9"/>
  <c r="D16" i="9"/>
  <c r="E13" i="9"/>
  <c r="D13" i="9"/>
  <c r="E10" i="9"/>
  <c r="D10" i="9"/>
  <c r="E7" i="9"/>
  <c r="D7" i="9"/>
  <c r="E33" i="10" l="1"/>
  <c r="D33" i="10"/>
  <c r="E32" i="10"/>
  <c r="D32" i="10"/>
  <c r="E31" i="10"/>
  <c r="D31" i="10"/>
  <c r="E30" i="10"/>
  <c r="D30" i="10"/>
  <c r="E29" i="10"/>
  <c r="D29" i="10"/>
  <c r="E28" i="10"/>
  <c r="D28" i="10"/>
  <c r="E27" i="10"/>
  <c r="D27" i="10"/>
  <c r="E26" i="10"/>
  <c r="D26" i="10"/>
  <c r="E25" i="10"/>
  <c r="D25" i="10"/>
  <c r="E24" i="10"/>
  <c r="D24" i="10"/>
  <c r="E23" i="10"/>
  <c r="D23" i="10"/>
  <c r="C23" i="10"/>
  <c r="E22" i="10"/>
  <c r="D22" i="10"/>
  <c r="C22" i="10"/>
  <c r="E21" i="10"/>
  <c r="D21" i="10"/>
  <c r="C21" i="10"/>
  <c r="E20" i="10"/>
  <c r="D20" i="10"/>
  <c r="C20" i="10"/>
  <c r="E19" i="10"/>
  <c r="D19" i="10"/>
  <c r="C19" i="10"/>
  <c r="E18" i="10"/>
  <c r="D18" i="10"/>
  <c r="C18" i="10"/>
  <c r="E17" i="10"/>
  <c r="D17" i="10"/>
  <c r="C17" i="10"/>
  <c r="E16" i="10"/>
  <c r="D16" i="10"/>
  <c r="C16" i="10"/>
  <c r="E15" i="10"/>
  <c r="D15" i="10"/>
  <c r="C15" i="10"/>
  <c r="E14" i="10"/>
  <c r="D14" i="10"/>
  <c r="C14" i="10"/>
  <c r="E13" i="10"/>
  <c r="D13" i="10"/>
  <c r="C13" i="10"/>
  <c r="E12" i="10"/>
  <c r="D12" i="10"/>
  <c r="C12" i="10"/>
  <c r="E11" i="10"/>
  <c r="D11" i="10"/>
  <c r="C11" i="10"/>
  <c r="E10" i="10"/>
  <c r="D10" i="10"/>
  <c r="C10" i="10"/>
  <c r="E9" i="10"/>
  <c r="D9" i="10"/>
  <c r="C9" i="10"/>
  <c r="E8" i="10"/>
  <c r="D8" i="10"/>
  <c r="C8" i="10"/>
  <c r="E7" i="10"/>
  <c r="D7" i="10"/>
  <c r="C7" i="10"/>
  <c r="E6" i="10"/>
  <c r="D6" i="10"/>
  <c r="C6" i="10"/>
  <c r="E5" i="10"/>
  <c r="D5" i="10"/>
  <c r="C5" i="10"/>
  <c r="E4" i="10"/>
  <c r="D4" i="10"/>
  <c r="C4" i="10"/>
  <c r="E3" i="10"/>
  <c r="D3" i="10"/>
  <c r="C3" i="10"/>
  <c r="F79" i="9"/>
  <c r="E79" i="9"/>
  <c r="D79" i="9"/>
  <c r="F76" i="9"/>
  <c r="E76" i="9"/>
  <c r="D76" i="9"/>
  <c r="F73" i="9"/>
  <c r="E73" i="9"/>
  <c r="D73" i="9"/>
  <c r="C19" i="9"/>
  <c r="C16" i="9"/>
  <c r="C13" i="9"/>
  <c r="C10" i="9"/>
  <c r="C7" i="9"/>
  <c r="F4" i="9"/>
  <c r="E4" i="9"/>
  <c r="D4" i="9"/>
  <c r="C4" i="9"/>
</calcChain>
</file>

<file path=xl/sharedStrings.xml><?xml version="1.0" encoding="utf-8"?>
<sst xmlns="http://schemas.openxmlformats.org/spreadsheetml/2006/main" count="520" uniqueCount="266">
  <si>
    <t>Yes</t>
  </si>
  <si>
    <t>CIE</t>
  </si>
  <si>
    <t>No</t>
  </si>
  <si>
    <t>Cybersecurity</t>
  </si>
  <si>
    <t>Project Details</t>
  </si>
  <si>
    <t>Project Name:</t>
  </si>
  <si>
    <t>Project Details:</t>
  </si>
  <si>
    <t>Location Details</t>
  </si>
  <si>
    <t>Project Address:</t>
  </si>
  <si>
    <t>Contact Details</t>
  </si>
  <si>
    <t>Project Lead:</t>
  </si>
  <si>
    <t>Phone:</t>
  </si>
  <si>
    <t>Email:</t>
  </si>
  <si>
    <t>NOTICE:  This computer software was prepared by Battelle Energy</t>
  </si>
  <si>
    <t>Alliance, LLC, hereinafter the Contractor, under Contract</t>
  </si>
  <si>
    <t>No. AC07-05ID14517 with the United States (U. S.) Department of</t>
  </si>
  <si>
    <t>Energy (DOE).  The Government is granted for itself and others acting on</t>
  </si>
  <si>
    <t>its behalf a nonexclusive, paid-up, irrevocable worldwide license in this</t>
  </si>
  <si>
    <t>data to reproduce, prepare derivative works, and perform publicly and</t>
  </si>
  <si>
    <t>display publicly, by or on behalf of the Government. There is provision for</t>
  </si>
  <si>
    <t>the possible extension of the term of this license. Subsequent to that</t>
  </si>
  <si>
    <t>period or any extension granted, the Government is granted for itself and</t>
  </si>
  <si>
    <t>others acting on its behalf a nonexclusive, paid-up, irrevocable worldwide</t>
  </si>
  <si>
    <t>license in this data to reproduce, prepare derivative works, distribute</t>
  </si>
  <si>
    <t>copies to the public, perform publicly and display publicly, and to permit</t>
  </si>
  <si>
    <t>others to do so.  The specific term of the license can be identified by</t>
  </si>
  <si>
    <t>inquiry made to Contractor or DOE.  NEITHER THE UNITED STATES NOR THE UNITED</t>
  </si>
  <si>
    <t>STATES DEPARTMENT OF ENERGY, NOR CONTRACTOR MAKES ANY WARRANTY, EXPRESS OR</t>
  </si>
  <si>
    <t>IMPLIED, OR ASSUMES ANY LIABILITY OR RESPONSIBILITY FOR THE USE, ACCURACY,</t>
  </si>
  <si>
    <t>COMPLETENESS, OR USEFULNESS OR ANY INFORMATION, APPARATUS, PRODUCT, OR</t>
  </si>
  <si>
    <t>PROCESS DISCLOSED, OR REPRESENTS THAT ITS USE WOULD NOT INFRINGE PRIVATELY</t>
  </si>
  <si>
    <t>OWNED RIGHTS.</t>
  </si>
  <si>
    <t>Subsystem</t>
  </si>
  <si>
    <t>ID</t>
  </si>
  <si>
    <t>Components/Functions</t>
  </si>
  <si>
    <t>Applicable?</t>
  </si>
  <si>
    <t>Instructions:</t>
  </si>
  <si>
    <t>Station Control</t>
  </si>
  <si>
    <t>Unit Control 
(Turbine + Comp)
(1ea per Unit)</t>
  </si>
  <si>
    <t>Safety Control</t>
  </si>
  <si>
    <t>Manual Pushbuttons - Human Initiated ESD</t>
  </si>
  <si>
    <t>Gas Control
(Control Center)</t>
  </si>
  <si>
    <t xml:space="preserve"> STN AC Power</t>
  </si>
  <si>
    <t>STN MCC</t>
  </si>
  <si>
    <t>STN ATS</t>
  </si>
  <si>
    <t>STN Generator(s) - Backup</t>
  </si>
  <si>
    <t>STN DC Power</t>
  </si>
  <si>
    <t>DC Power System Rectifier/Controller</t>
  </si>
  <si>
    <t>DC Power Battery Mgmt Controller</t>
  </si>
  <si>
    <t>Instrument Air
(valve actuation)
(N/A if gas or electric)</t>
  </si>
  <si>
    <t>Instrument Air Package Controller</t>
  </si>
  <si>
    <t>Service</t>
  </si>
  <si>
    <t>Frequency Regulation</t>
  </si>
  <si>
    <t>Area of Effect</t>
  </si>
  <si>
    <t>NOTE: Instructions to the far top right.</t>
  </si>
  <si>
    <t>Enabling Function Definition</t>
  </si>
  <si>
    <t>Inputs</t>
  </si>
  <si>
    <t>Operations</t>
  </si>
  <si>
    <t>Outputs</t>
  </si>
  <si>
    <t>Notes</t>
  </si>
  <si>
    <t>Consequence Analysis</t>
  </si>
  <si>
    <t>Enabling Function</t>
  </si>
  <si>
    <t>Operation</t>
  </si>
  <si>
    <t>Engineering Analysis</t>
  </si>
  <si>
    <t>Cybersecurity Analysis</t>
  </si>
  <si>
    <t>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t>
  </si>
  <si>
    <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t>
  </si>
  <si>
    <t>Mitigation Analysis</t>
  </si>
  <si>
    <t>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t>
  </si>
  <si>
    <t>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t>
  </si>
  <si>
    <t>Functional Description</t>
  </si>
  <si>
    <t>STN PLC: Flow Control (Discharge)</t>
  </si>
  <si>
    <t>STN PLC: Press Control (Suction or Discharge)</t>
  </si>
  <si>
    <t>STN PLC: Valving (Suction, Discharge, ByPass)</t>
  </si>
  <si>
    <t>STN PLC: Gas Cooling (Unit Discharge)</t>
  </si>
  <si>
    <t>STN PLC: Fuel Gas Supply</t>
  </si>
  <si>
    <t>STN PLC: SCADA Telemetry/Cntrl Aggregator</t>
  </si>
  <si>
    <t>Unit PLC: Safe Startup</t>
  </si>
  <si>
    <t>Unit PLC: Safe Idle, Shutdown</t>
  </si>
  <si>
    <t>Unit PLC: Unit Valves Control</t>
  </si>
  <si>
    <t>Unit PLC: Unit Fuel Gas Control</t>
  </si>
  <si>
    <t>Unit PLC: Delivery Control (Speed, DisPress, SucPress)</t>
  </si>
  <si>
    <t>Unit PLC + ASCV: Surge Detection (Compressor)</t>
  </si>
  <si>
    <t>Unit PLC + ASCV: Surge Avoidance (Compressor)</t>
  </si>
  <si>
    <t>Unit PLC: Seals System</t>
  </si>
  <si>
    <t>Unit PLC: Lube Oil System</t>
  </si>
  <si>
    <t>Unit PLC + Discrete Cntrl: Vibration Detection</t>
  </si>
  <si>
    <t>Unit PLC: Temperature Monitoring</t>
  </si>
  <si>
    <t>ESD PLC: Station/Units Shutdown/Shut-in/Venting</t>
  </si>
  <si>
    <t>Sensing/Detection - Flame Detectors</t>
  </si>
  <si>
    <t>Sensing/Detection - Gas Detectors</t>
  </si>
  <si>
    <t>Pipeline ops for delivery (STN setpoint, Unit start/stop)</t>
  </si>
  <si>
    <t>Other/Misc</t>
  </si>
  <si>
    <t>&lt;User Defined&gt;</t>
  </si>
  <si>
    <t>The Station PLC (STN PLC) is responsible for controlling the gas volume flow at the station level. It does this by:
Calculating instantaneous flow values using data from a flow calculation device.
Targeting a flow setpoint provided by Operations.
Leveraging available Unit horsepower to optimize compressor utilization.
Communicating speed setpoints to individual Unit PLCs to achieve the desired station flow.</t>
  </si>
  <si>
    <t xml:space="preserve">
The STN PLC is responsible for maintaining station-level pressure control—either suction or discharge—by monitoring real-time pressure values from header or mainline piping. It targets a setpoint provided by Operations and dynamically adjusts the utilization and loading of available compressor Units based on horsepower availability and operational preferences. The Station PLC communicates optimized speed setpoints to each Unit PLC to achieve the desired pressure control.
This control function involves multiple digital assets and communication pathways, including local and remote I/O, hardwired signals, and digital communications. Understanding these elements is critical for evaluating system integrity, reliability, and cybersecurity posture.</t>
  </si>
  <si>
    <t>STN PLC: Pressure Control (Suction or Discharge)</t>
  </si>
  <si>
    <t>The STN PLC governs the control and monitoring of station-level valving (suction, discharge, bypass) to meet operational objectives. This includes ensuring proper flow through the station, isolating the station when necessary, and managing pressure events. The PLC uses digital logic, sensor inputs, and actuation capabilities to manipulate valves in response to operational states and demands.</t>
  </si>
  <si>
    <t>The STN PLC controls and monitors gas cooling fan motors to maintain discharge gas temperature within operational limits. It uses temperature inputs from the unit discharge header and the cooling fan assembly to determine when and how much cooling is needed. Based on this logic, the PLC sends control signals to fan motor controllers (MCC starters or VFDs) to operate the cooling fans. This function ensures that gas entering the station mainline tie-in meets temperature specifications.</t>
  </si>
  <si>
    <t>The STN PLC provides automated control and monitoring of the station fuel gas supply to Unit engines. It ensures that fuel gas is delivered at appropriate pressure, temperature, and quality (filtering) to support reliable engine operation. The PLC uses instrumentation data to monitor inlet and regulator bank output pressure, fuel gas temperature, and filter differential pressure. Based on this data, it controls the fuel gas supply valve to maintain desired operating conditions.</t>
  </si>
  <si>
    <t>The STN PLC serves as a telemetry and control aggregator for the compressor station, enabling both automated station-level control/monitoring and remote supervisory control by Gas Control operators. It collects and processes operational data from various station systems and communicates this data to SCADA platforms via internal and external network infrastructure. The PLC also receives control commands from Gas Control, which it executes through local or remote I/O or digital communications.</t>
  </si>
  <si>
    <t>Unit PLC control and monitoring is dependent on local/remote start command, run permissives (ESD/safety system, station systems, ops state, etc.), local Unit valve positions/operation, compressor seal system ops/health, lube oil system ops/health, purge ops completion, compressor pressurization. Sequencing/monitoring logic in the Unit PLC, process parameters are a mix of local I/O, remote I/O, safety PLC hardwired I/O, and digital communications.
Operations: Unit PLC logic manages startup processes to establish run and loading ops states. 
Outputs: Unit PLC logic directs actuation of Unit fuel gas valves and Unit valves, while continuously monitoring ops/health of critical skid subsystems (seals, lube oil, etc.) as well as ESD and certain station systems to achieve a safe startup.</t>
  </si>
  <si>
    <t>Inputs: Unit PLC control and monitoring is dependent on local/remote stop or shutdown command, run permissives (ESD/safety system, station systems and state, etc.), local Unit valve positions/operation, compressor seal system ops/health, lube oil system ops/health, purge ops completion, compressor pressurization. Sequencing/monitoring logic in the Unit PLC, process parameters are a mix of local I/O, remote I/O, safety PLC hardwired I/O, and digital communications.
Operations: Unit PLC logic manages stop/shutdown processes to achieve temporary Idle, temporary pressurized shutdown, and/or depressurized shutdown.
Outputs: Unit PLC logic directs actuation of Unit fuel gas valves and Unit valves, while continuously monitoring ops/health of critical subsystems (seals, lube oil, etc.) to achieve a safe shutdown.</t>
  </si>
  <si>
    <t>The Unit PLC (turbine package controller) executes a controlled stop and shutdown of the compressor-driven turbine unit, distinct from station-wide controls. Its responsibilities include: validating stop/shutdown commands and permissives; coordinating a safe fuel ramp-down or trip; managing cooldown and purge sequences; maintaining lube oil and seal gas/dry gas seal integrity; and handling compressor-side conditions (anti-surge/recycle, pressurization or depressurization). Depending on operator selection and process requirements, the Unit PLC transitions the machine to one of several end states: Safe Idle: fuel-off or minimum fuel, unit coasting or on turning gear, bearings and seals protected, ready for rapid restart; Temporary Pressurized Shutdown - unit stopped, compressor casing remains pressurized and seals maintained to support a near-term restart; Depressurized Shutdown - unit stopped, compressor safely vented/isolated and seals/lube managed through cooldown to a stable, unpressurized state. Throughout these sequences, the Unit PLC enforces interlocks, timers, and voting logic (as applicable) to prevent overspeed, overheating, seal/lube oil loss, and surge during pressure transitions, and confirms completion criteria (temperature, speed, pressure, purge) before declaring the selected shutdown state achieved.</t>
  </si>
  <si>
    <t>Shutdown Mode Selection &amp; Entry Criteria
What logic determines whether a Safe Idle, temporary pressurized shutdown, or depressurized shutdown is executed (operator selection, process state, station directives)?
Under what conditions is a controlled shutdown allowed vs. an ESD trip (loss of key permissives, severe vibration/temperature, overspeed)?
Fuel Ramp-Down and Trip Logic
How is fuel ramp-down scheduled (profiles, rate limits) to control exhaust temperature and acceleration during coast-down?
What conditions trigger an immediate fuel trip (valve slam-shut), and how does the PLC prevent thermal shock or over-temperature during the transition?
Cooldown &amp; Purge Sequencing
How does the PLC determine purge necessity, duration, and completion (timers, flow/pressure indications) for different shutdown modes?
What cooldown criteria (exhaust/casing temperature thresholds, shaft speed limits) gate progression to turning gear or final state declaration?
Lube Oil &amp; Seal Gas Management
What logic maintains lube oil flow/pressure/temperature throughout coast-down and post-stop (automatic pump switchover, min pressure interlocks)?
How is seal gas/dry gas seal differential pressure safeguarded during pressurized holds and depressurization?
Compressor Management (Anti-Surge / Pressure Transitions)
How are anti-surge and recycle valves sequenced to avoid surge during pressure changes as the unit decelerates or the casing vents?
What logic governs the steps to maintain pressurization vs. execute depressurization (isolation, vent, recycle close/open ordering)?
Turning Gear &amp; Rotational Management
What conditions (speed, oil temperature/pressure, bearing temperature) enable turning gear engagement; what timers and safeties are enforced?
How long is turning gear maintained, and what criteria release the unit to a full stopped state?
Fault Handling &amp; Abort Paths
What abort thresholds (low-low lube pressure, seal DP loss, high vibration, comms loss to critical actuators) force transition from controlled shutdown to trip?
How are post-abort actions prioritized (fuel isolation, valve closures, pump retention, alarm escalation)?
Operator Interaction &amp; Overrides
Which actions remain automatic, and which require operator confirmation (mode selection, hold pressurization)?
How are manual overrides handled to prevent conflicting commands (local vs. remote priority rules, permissive re-checks)?
Completion Declaration &amp; Reporting
What completion criteria (temperature/speed/pressure/valve states) define Safe Idle, Pressurized Shutdown, and Depressurized Shutdown?
How are events, timers, and interlock results recorded and time-stamped for post-event analysis?</t>
  </si>
  <si>
    <t>Fuel System Commands
What outputs drive fuel gas isolation and metering valves (close commands, ramp-down analog signals)?
Are these signals transmitted via hardwired I/O or digital communications? If digital, what protocols are used (e.g., Ethernet/IP, Profibus, Modbus RTU)?
Unit Valve Actuation
What commands are issued to bleed valves, IGVs, unit recycle/anti-surge, vent, and isolation valves during shutdown steps?
What output types are used (discrete DO, analog setpoint, smart actuator fieldbus), and how are interlocks enforced on command issuance?
Auxiliary Systems Control
How does the Unit PLC command lube oil pumps (main/aux/emergency), seal gas boost systems, and purge fans/cranking motors (where applicable)?
Are these actuations via MCC starters/relays, VFDs, or packaged controllers, and what feedback is required (run/fault)?
Turning Gear Engagement
What outputs engage/disengage turning gear; what sequencing ensures engagement only within safe speed/temperature windows?
How is turning gear runtime controlled (timers, temperature criteria)?
Feedback &amp; Command Verification
What return signals (end-of-travel, analog position, run/fault) must be received to verify successful actuation?
How are mismatch or failed-command conditions alarmed and handled in the sequence?
Alarm/Annunciation &amp; Logging
Which alarms (shutdown mode selected, permissive loss, trip cause) are generated and sent to local HMI and station aggregator?
What logs (state transitions, timer expirations, aborts, operator actions) are written, and how are they organized for post-run review?
Communications &amp; Pathing
Are these output commands transmitted via hardwired I/O or digital communications? If digital, what protocols are used (e.g., Ethernet/IP, Profibus, Modbus RTU)?
Are commands issued directly from the Unit PLC or routed through intermediary devices (drives, smart actuators, protocol gateways), and how is loss-of-comms handled?</t>
  </si>
  <si>
    <t>Unit PLC valve control and monitoring is dependent on operational state awareness and demands (logic), timely/accurate sensing of valve positions, capability for manipulation of valves, and instrument air.
Inputs: Individual Unit valving, on-skid or near-skid, includes suction, discharge, loading, venting, and anti-surge functions. On-skid or near-skid parameter measurement and individual Unit valve control are commonly local I/O to the Unit PLC.
Operations: Unit PLC control/monitoring of dedicated Unit valving to manage and accomplish safe Unit startup, purge, pressurization, run, idling, and safe stop/shutdown states.
Outputs: Unit PLC to Unit valves (suction, discharge, loading, venting). Commonly local hardwired I/O.</t>
  </si>
  <si>
    <t>The Unit PLC (turbine package controller) executes closed-loop control and monitoring of on‑skid/near‑skid unit valves—including suction, discharge, loading (recycle/anti‑surge), venting, and any unit-dedicated isolation/bleed/inlet guide vane (IGV) functions—to maintain safe operation across startup, purge, pressurization, run, idle, and stop/shutdown states. In typical turbomachinery practice, the PLC modulates anti‑surge/recycle valves rapidly to prevent surge during transients, enforces isolation/vent sequencing to manage pressure, and coordinates IGV/bleed positioning (where applicable to the unit package) with fuel and speed control. These actions rely on high‑speed valve actuation, robust local I/O, and deterministic sequencing consistent with compressor performance maps and OEM turbine control logic.</t>
  </si>
  <si>
    <t>A Unit PLC (turbine package controller) orchestrates a safe, automated startup sequence from a stopped state to “run and load-ready,” by validating permissives, executing purge and ignition steps, controlling fuel introduction and acceleration, and continuously supervising critical skid subsystems (lube oil, seal gas/dry gas seals, vibration/temperature, instrument air, and unit valves). Typical OEM control implementations (e.g., GE Mark VIe, Solar Turbines Turbotronic-based packages) coordinate these actions with integrated logic for fuel control, thermocouple voting, overspeed protection, and start permissives (lube/seal oil pressure, purge complete, ESD/safety system healthy), consistent with industry practice and API guidance for gas turbines and centrifugal compressors.</t>
  </si>
  <si>
    <t>Valve Position &amp; Health Feedback
What position/limit feedback is available for suction, discharge, loading/recycle (anti‑surge), and vent valves (e.g., discrete end‑of‑travel, analog positioner, smart actuator diagnostics)?
Are these signals transmitted via hardwired I/O or digital communications? If digital, what protocols are used (e.g., Ethernet/IP, Profibus, Modbus RTU)?
Process Measurements Driving Valve Control
Which suction/discharge pressures, temperatures, and (if implemented) flow measurements are mapped to the compressor control envelope and used to command the loading/anti‑surge valve?
What update rates and voting or validation are used to ensure fast, accurate inputs during transients?
IGV/Bleed and Auxiliary Inputs (Unit Package)
For unit packages with IGVs/bleed, what actuator position and status inputs are available to the Unit PLC, and are they integrated with temperature/speed/fuel logic?
Are these signals hardwired or digital? If digital, which protocols?
Seal Gas / Dry Gas Seal Context Signals (Pressure Management)
What seal gas DP, supply pressure/flow, and condition inputs inform valve decisions during pressurization/depressurization (e.g., coordinating vent/isolations to protect seals)?
Interface type and diagnostics (smart transmitters vs. conventional)?
Unit/Station Interlocks &amp; Permissives Relevant to Valves
Which ESD/SIS and station-state inputs (instrument air availability, power quality) gate valve actuation sequences (e.g., prohibit opening a recycle without air, require isolation before vent)?
Are these signals hardwired or digital? If digital, which protocols?
I/O Architecture &amp; Device Health
Which points are local I/O versus remote I/O, and what diagnostic/health inputs (e.g., positioner faults, actuator pressure low, stroking time alarms) are reported to the Unit PLC?
Are device diagnostics obtained via HART/Fieldbus or discrete/alarm contacts?</t>
  </si>
  <si>
    <t>Compressor Map &amp; Anti‑Surge Strategy
How does the PLC compute the operating point (pressure vs. flow) and maintain margin to the surge control line, including pre‑emptive actions during fast transients?
What dynamic intervention features (e.g., velocity‑based pre‑open of recycle) are implemented to avoid crossing the surge line?
Startup/Purge/Pressurization Sequencing
What valve sequence ensures safe purge, controlled pressurization, and coordinated isolation/vent operations before first fire or coupling to load?
How are timers, permissives, and interlocks applied to each step, and what criteria allow progression? 
Run &amp; Load Management
During normal run, how is the loading (recycle/anti‑surge) valve modulated in response to demand changes, and what rate/limit constraints prevent instability (hunting, overshoot)?
How are IGV/bleed positions coordinated with recycle to maintain efficiency and temperature limits? 
Idle &amp; Shutdown Transitions
What logic handles transitions to idle or shutdown—including selection of pressurized vs. depressurized states—and how are isolation and vent valves sequenced to protect dry gas seals?
What abort paths (e.g., seal DP loss, low‑low lube pressure) force immediate valve closures or full recycle?
Fault Handling &amp; Validation
How does the PLC detect command/feedback mismatches (e.g., valve fails to move) and respond (reissue command, move to safe state, alarm)?
What SOE/historian elements log sequence steps, stroking times, and actuator faults for diagnostics and tuning?
Performance Tuning &amp; Testing
What procedures exist for valve stroke testing, response characterization, and PID tuning for anti‑surge control to ensure sub‑second action when required?
How are simulation/dynamic analyses used to verify station piping/valve performance during transients?</t>
  </si>
  <si>
    <t>Actuation Commands to Unit Valves
What outputs drive suction, discharge, loading/recycle (anti‑surge), and vent valves (discrete open/close, analog position setpoints, fieldbus writes to smart positioners)?
Are these signals transmitted via hardwired I/O or digital communications? If digital, what protocols are used (e.g., Ethernet/IP, Profibus, Modbus RTU)? 
Speed &amp; Responsiveness Requirements (Anti‑Surge)
What stroking time targets and fail‑safe behaviors are specified for the recycle valve to arrest surge (e.g., &lt;1 s to capacity, double‑acting actuators, boosters/checks)?
How are noise/vibration attenuation features managed (trim selection) while maintaining response?
IGV/Bleed Valve Outputs (If Applicable)
What analog/discrete commands position IGVs and bleed valves, and how are these synchronized with fuel/speed loops during transients?
What feedback closure logic confirms commanded vs. actual positions before subsequent steps proceed?
Isolation &amp; Vent Control for Pressure States
How does the PLC sequence isolation and vent valves to establish or release casing pressure (pressurized hold vs. controlled depressurization), and what safeguards protect dry gas seals?
What outputs keep seal support viable during pressure changes (e.g., hold recycle partially open to maintain flow paths)?
Command Verification &amp; Alarm/Annunciation
What return signals (end‑of‑travel, LVDT position, actuator “run/fault”) verify successful actuation, and how are mismatch alarms prioritized?
How are events and SOEs reported to local HMI and, if applicable, station aggregation layers?</t>
  </si>
  <si>
    <t>Inputs: Unit PLC control focus on received local/remote speed, discharge or suction pressure setpoint. Unit PLC control is implemented through manipulation of fuel gas supply to achieve desired Unit speed based on Unit Discharge Pressure, or Unit Suction Pressure via heirarchy of PI or PID algorithms.
Operations: Unit PLC speed, discharge pressure, or suction pressure setpoint can be received from a variety of sources depending on asset owner implemenation - locally from Unit HMI, from dedicated Station workstation(s), from Station PLC, or remotely from Gas Control. A common implementation is to direct Gas Control station-delivery setpoints through the Station PLC which determines and communicates optimized individual Unit setpoints.
Outputs: Unit PLC to fuel gas supply (possibly ASCV in certain circumstances).</t>
  </si>
  <si>
    <t>The Unit PLC (turbine package controller) executes closed‑loop fuel gas control to achieve commanded unit speed or meet discharge/suction pressure setpoints for compressor performance. It receives setpoints from local or remote sources, computes the required fuel demand using a hierarchy of PI/PID controllers, and positions the fuel gas metering valve(s) (and acceleration control valve, if fitted) while respecting turbine protection limits (temperature, acceleration, and overspeed). The Unit PLC coordinates fuel control with unit‑level valves (e.g., IGV/bleed, anti‑surge/recycle) and confirms command/feedback closure to maintain stable combustion, smooth transients, and reliable station delivery.</t>
  </si>
  <si>
    <t>Setpoint Sources &amp; Paths
What speed, discharge pressure, or suction pressure setpoints can the Unit PLC accept (local HMI, station workstation, Station PLC, Gas Control via SCADA)?
Are these signals transmitted via hardwired I/O or digital communications? If digital, what protocols are used (e.g., Ethernet/IP, Profibus, Modbus RTU)?
Process Measurements for Control &amp; Limits
Which measured variables drive the PI/PID hierarchy (e.g., shaft speed, compressor discharge/suction pressure, exhaust/firing temperature, compressor discharge pressure/CPD)?
What update rates, voting/validation, and range/health diagnostics apply to these inputs?
Fuel Train Instrumentation &amp; Feedback
What feedback exists from the fuel gas metering valve(s) and any acceleration control valve (ASCV) (e.g., LVDT/positioner signal, valve status/fault, stroking time)?
What signals confirm primary/secondary shutoff valve health and readiness (open/close proof, pilot air/actuator pressure, leak‑tightness checks)?
Are these signals hardwired or digital? If digital, which protocols?
Fuel Properties &amp; Compensation Inputs
How are fuel pressure, temperature, heating value, or mass‑flow (if available) measured and used for density/energy compensation in the fuel control loop?
Interlocks &amp; Permissives Relevant to Fuel Control
Which ESD/SIS and station‑state permissives (instrument air available, AC power quality, no active trips) gate fuel delivery?
Are these signals hardwired or digital? If digital, which protocols?
Coordination Inputs (Unit Valves &amp; Anti‑Surge)
What inputs from IGV/bleed or anti‑surge/recycle logic influence fuel demand or limit scheduling during transients?
I/O Topology &amp; Device Health
Which points are local I/O versus remote I/O; what device‑level diagnostics (positioner fault, actuator pressure low) reach the Unit PLC?
Are smart instrument diagnostics accessed via HART/Fieldbus or discrete alarms?</t>
  </si>
  <si>
    <t>Control Architecture &amp; Hierarchy
How is the PI/PID hierarchy structured (e.g., pressure loop cascades to speed, or speed loop limited by temperature/acceleration)?
What logic handles setpoint selection/priority when multiple sources are present (local vs. Station PLC vs. Gas Control)?
Setpoint Management &amp; Bumpless Transfer
How are setpoint changes filtered/ramped; what bumpless transfer strategies avoid fuel step changes when switching control modes or sources?
Limiters &amp; Schedulers
What limit functions (firing/exhaust temperature caps, acceleration/deceleration limits, overspeed protection) constrain fuel demand?
How are ambient/CPD conditions used to schedule fuel during load ramps?
Fuel‑Valve Command Strategy
How does the PLC convert fuel demand into valve position (e.g., FSR‑like demand to metering valve stroke), and what rate limits and deadband are applied to prevent hunting?
Pressure‑Control Modes (Discharge vs. Suction)
Under which conditions is discharge pressure vs. suction pressure control selected, and how does the PLC prevent interactions with anti‑surge control?
Transient Handling &amp; Anti‑Surge Coordination
During rapid transients (start, step changes, trips on neighboring units), how is fuel demand coordinated with recycle/IGV actions to avoid surge and temperature overshoot?
Fault Handling &amp; Fallbacks
What faults (loss of feedback, valve not tracking, sensor failure) trigger fallback control (open‑loop safeguarding, safe fuel cutback/close)?
How are abort thresholds defined and what post‑abort actions are sequenced?
Operator Interaction &amp; Overrides
Which actions remain automatic, and which require operator confirmation (e.g., switching control mode, applying new setpoints)?
How are manual overrides reconciled with automatic fuel control to prevent conflicts?
Performance Monitoring &amp; Tuning
What tuning procedures (gain/ti/t d, valve characterization, feedforward) and test routines (step/ramp tests) are used to verify stability across operating ranges?
How are events, sequence steps, and controller outputs recorded for analysis (SOE/historian)?</t>
  </si>
  <si>
    <t>Fuel Metering &amp; Acceleration Control Valve Commands
What outputs drive the fuel gas metering valve(s) and ASCV (analog 4–20 mA, discrete open/close, fieldbus to smart positioners)?
Are these signals transmitted via hardwired I/O or digital communications? If digital, what protocols are used (e.g., Ethernet/IP, Profibus, Modbus RTU)?
Primary/Secondary Shutoff &amp; Pilot Systems
What outputs control primary/secondary fuel shutoff valves, pilot air solenoids, and vent valves for safety and purge functions?
Command Verification &amp; Safety Confirmation
What return signals (LVDT position, end‑of‑travel, drive “run/fault”) verify successful actuation; how are mismatch/timeout conditions handled?
Response &amp; Rate Control
What stroking‑time targets, ramp limits, and fail‑safe behaviors are specified for fuel valves to ensure smooth transients and reliable surge avoidance?
Alarm/Annunciation &amp; Logging
Which alarms (valve not tracking, limit active, setpoint source change) are generated and how are events/SOEs logged and reported to local HMI or station aggregation?</t>
  </si>
  <si>
    <t>Unit PLC fuel gas control and monitoring is dependent on timely/accurate measurement/sensing of system pressure, flow capabilities, and system valve control.
Inputs: Unit PLC control focus on received local/remote speed, discharge or suction pressure setpoint. Unit PLC control is implemented through manipulation of fuel gas supply to achieve desired Unit speed based on Unit Discharge Pressure, or Unit Suction Pressure via heirarchy of PI or PID algorithms.
Operations: Unit PLC speed, discharge pressure, or suction pressure setpoint can be received from a variety of sources depending on asset owner implemenation - locally from Unit HMI, from dedicated Station workstation(s), from Station PLC, or remotely from Gas Control. A common implementation is to direct Gas Control station-delivery setpoints through the Station PLC which determines and communicates optimized individual Unit setpoints.
Outputs: Unit PLC to fuel gas supply (possibly ASCV in certain circumstances).</t>
  </si>
  <si>
    <t>The Unit PLC (turbine package controller) governs delivery control by manipulating fuel gas to meet operator or supervisory setpoints in three principal modes: Speed control (governing the turbine shaft speed for mechanical drive), Discharge‑pressure control (maintaining a target compressor outlet pressure), Suction‑pressure control (maintaining a target inlet/header pressure). A hierarchy of PI/PID control loops translates setpoint(s) into fuel‑demand commands for the metering valve(s) (and ASCV if fitted), respecting turbine and compressor limits (temperature, acceleration, overspeed, surge margin). The Unit PLC arbitrates among multiple setpoint sources (local HMI, dedicated station workstation, Station PLC, or Gas Control via SCADA), performs bumpless transfer when sources or modes change, and coordinates fuel scheduling with IGV/bleed and anti‑surge/recycle strategies to ensure stable combustion, smooth transient response, and reliable station delivery.</t>
  </si>
  <si>
    <t>Setpoint Sources &amp; Interfaces
What setpoints can the Unit PLC accept: speed, discharge pressure, suction pressure?
What are the source paths (local HMI, station workstation, Station PLC, Gas Control/SCADA)?
Are these signals transmitted via hardwired I/O or digital communications? If digital, what protocols are used (e.g., Ethernet/IP, Profibus, Modbus RTU)?
Primary Control Measurements
Speed feedback: type (magnetic pickup/encoder), number of channels, update rate, voting/validation.
Pressure feedbacks: suction/discharge transmitters (range, accuracy), update rate, diagnostics (sensor health, out‑of‑range).
Temperature/firing/exhaust measurements used for limiters or scheduling.
Fuel Train &amp; Valve Feedback
Fuel metering valve feedback (LVDT/positioner, end‑of‑travel status, stroking‑time indication).
Acceleration control valve (ASCV) feedback if present.
Shutoff/pilot/vent valve statuses and permissives (proof‑closed/open, pilot air/actuator pressure).
Are these signals hardwired or digital? If digital, which protocols? (e.g., 4–20 mA + HART, Foundation Fieldbus, Ethernet/IP).
Fuel Properties &amp; Compensation Inputs
Availability of fuel pressure, temperature, gas composition/heating value, and/or mass‑flow—used for density/energy compensation or feedforward.
Interlocks &amp; Permissives
Which ESD/SIS and station‑state permissives (instrument air, AC power, no active trips) gate fuel delivery?
How are overspeed, acceleration, and temperature limit inputs presented to the control hierarchy?
Coordination Inputs (Unit Valves &amp; Anti‑Surge)
What signals from IGV/bleed and anti‑surge/recycle control are read to prevent control conflicts (e.g., limiting fuel when recycle is forced open)?
I/O Architecture &amp; Diagnostics
Which points are local vs. remote I/O; what device‑level diagnostics (positioner fault, actuator pressure low) are mapped to the Unit PLC?
How are instrument diagnostics accessed (HART/Fieldbus, discrete alarms), and how is SOE timestamping handled?</t>
  </si>
  <si>
    <t>Mode Selection &amp; Arbitration
How is control mode chosen (speed vs. discharge vs. suction)—operator selection, automatic selection rules, or station directives?
What priority/override logic resolves conflicting setpoint sources (local vs. Station PLC vs. Gas Control)?
How is bumpless transfer implemented when changing modes/sources?
Control Hierarchy &amp; Cascades
What PI/PID cascade architecture is used (e.g., pressure loop cascades to speed, or speed loop constrained by temperature/acceleration limits)?
How are limiters/schedulers (firing/exhaust temperature caps, acceleration limits, overspeed protection) integrated with fuel demand?
Setpoint Handling &amp; Ramps
How are setpoint changes ramped/filtered to prevent fuel steps and compressor instability?
Are feedforward terms (e.g., density/energy compensation, CPD‑based scheduling) applied on large demand changes?
Transient &amp; Surge Avoidance
How does the PLC coordinate fuel with anti‑surge/recycle and IGV/bleed actions during fast transients (startup, load steps, station upsets)?
What surge margin policies or pre‑emptive actions are triggered by rapid movement toward the surge control line?
Pressure Mode Behavior
Under what conditions is discharge pressure control favored (delivery objectives) vs. suction pressure control (header stability)?
How does the PLC prevent loop interaction (pressure mode vs. anti‑surge and speed governing)?
Fault Handling &amp; Fallbacks
What sensor/actuator faults cause fallback strategies (open‑loop limitation, safe fuel cutback/close), and what abort thresholds exist?
How are command/feedback mismatches (valve not tracking, slow response) detected and resolved?
Operator Interaction
Which actions are automatic, and which require operator confirmation (setpoint changes, mode transitions)?
How are manual overrides reconciled with automatic fuel control to avoid conflicts?
Performance Monitoring &amp; Tuning
What tuning procedures (gain/ti/td, valve characterization) and test routines (step/ramp tests) verify stability across operating ranges?
How are events, control outputs, limit activations, and sequence steps recorded (SOE/historian) for post‑run analysis?</t>
  </si>
  <si>
    <t>Fuel Metering &amp; ASCV Commands
What outputs drive the fuel metering valve(s) and ASCV (analog 4–20 mA, discrete open/close, fieldbus to smart positioners)?
Are these signals transmitted via hardwired I/O or digital communications? If digital, what protocols are used (e.g., Ethernet/IP, Profibus, Modbus RTU)?
Safety &amp; Purge Elements
What outputs command primary/secondary fuel shutoff valves, pilot air solenoids, and fuel vent valves for safety, purge, and light‑off checks?
Response Shaping
What stroking‑time targets, rate limits, and fail‑safe behaviors are specified for fuel valves to ensure smooth transients and reliable surge avoidance?
Command Verification
What return signals (LVDT position, end‑of‑travel, actuator “run/fault”) confirm actuation; how are mismatch/timeout alarms handled?
Annunciation &amp; Logging
Which alarms (valve not tracking, source change, limit active) and events/SOEs are published to local HMI and, when applicable, to Station PLC/SCADA aggregation?</t>
  </si>
  <si>
    <t>Inputs: Unit PLC surge detection capabilities require timely/accurate measurement/sensing of compressor inlet flow differential pressure, suction and discharge
pressure, suction and discharge temperature, anti-surge valve position feedback, and logic-based surge detection and response algorithms.
Operations: Unit PLC provides damage protection via surge detection logic and manipulation of ASCV capabilities. Surge detection logic in the Unit PLC directs incremental opening of the ASCV (to facilitate recycle) on detection of pressure transients in compressor flow. Detection of multiple pressure transients in a short timeframe results in full open command to the ASCV and possible Unit shutdown.
Outputs: Unit PLC to ASCV - enable and %open.</t>
  </si>
  <si>
    <t>The Unit PLC (turbine package controller) implements surge detection and response for the compressor by continuously monitoring key process variables and commanding the Anti‑Surge/Recycle Control Valve (ASCV). The PLC uses logic‑based algorithms to detect incipient surge (rapid pressure/flow transients near the compressor surge limit) and to prevent mechanical damage by incrementally opening the ASCV to recycle discharge gas to suction. If repeated transients occur within a short time window, the PLC issues a full‑open ASCV command and may trigger unit protective actions (e.g., controlled rundown or shutdown) to restore stable flow and preserve seals, bearings, and rotor integrity. The function relies on fast, deterministic I/O to the ASCV, validated sensor inputs, and tuned logic (filters, timers, thresholds) aligned with compressor performance characteristics.</t>
  </si>
  <si>
    <t>Core Measurements (Sensing)
Which instruments provide suction pressure (Ps), discharge pressure (Pd), suction temperature (Ts), discharge temperature (Td), and inlet flow differential pressure (ΔP across flow element)?
What are each sensor’s range/accuracy, update rate, and signal type (e.g., 4–20 mA, HART, Fieldbus)?
How are rate‑of‑change (dP/dt) and derived flow/head values computed (in PLC vs. smart transmitter)?
ASCV Position &amp; Health Feedback
What position feedback is available (e.g., analog position, LVDT, digital from positioner) for the ASCV?
What actuator health signals (air/hydraulic pressure, “run/fault”, stroking‑time diagnostic) are returned to the PLC?
Signal Pathing &amp; Protocols
For each measurement and ASCV feedback: Are these signals transmitted via hardwired I/O or digital communications? If digital, what protocols are used (e.g., Ethernet/IP, Profibus, Modbus RTU)?
Are there remote I/O nodes near the skid to reduce latency? What scan times are configured?
Validation &amp; Voting
Is there sensor validation (range checks, plausibility against neighboring transmitters, redundancy/voting)?
What filters (median, low‑pass) and debounce timers are applied to avoid false surge detection?
Context &amp; Interlocks
Which permissives or interlocks must be true before ASCV manipulation (e.g., instrument air available, ESD/SIS healthy, valve not inhibited)?
Are there coordination inputs from unit fuel control, IGV/bleed control, or station anti‑surge supervisor?
Timestamping &amp; Historian
How are SOE timestamps captured for surge events and ASCV actions (time resolution, clock sync)?
Are raw and computed signals logged (Pd, Ps, Ts/Td, ΔP, dP/dt, ASCV %) for post‑event analysis?</t>
  </si>
  <si>
    <t>Surge Detection Algorithm
What criteria define surge onset (e.g., rapid Pd drop with Ps rise, ΔP spikes, flow reversal signature, head‑flow trajectory vs. control line)?
How are thresholds, time windows, and rate‑of‑change limits set per operating speed and temperature?
Incipient vs. Confirmed Surge
How does logic distinguish incipient surge (single transient) from confirmed surge (multiple transients within a short timeframe)?
What event counters and reset timers are used to escalate response?
ASCV Command Strategy
On detection, what is the incremental open schedule (e.g., step size %, max rate, minimum hold time)?
Under repeated transients, what triggers full‑open command and how long is it held before reassessment?
Coordination with Unit Controls
How is ASCV motion coordinated with fuel demand, IGV/bleed, and speed/pressure modes to avoid conflicts (e.g., limiting fuel during recycle)?
Are there feedforward actions (pre‑opening ASCV during known transients such as fast load rejections)?
Actuator Dynamics &amp; Limits
What are the target stroking times and positional accuracy for ASCV (sub‑second opening capability)?
How are rate limits, anti‑windup, and valve characterization (equal‑% or custom trim) applied in control outputs?
Fault Handling
What happens if ASCV feedback disagrees with command (mismatch, stalled actuator)?
What protective actions occur with loss of key sensors (Pd/Ps/ΔP), loss of instrument air, or positioner fault?
Shutdown Criteria
What conditions (e.g., N surge events in T seconds, unable to stabilize after full‑open) initiate unit shutdown or controlled rundown?
How are post‑shutdown purge/vent and seal protection handled?
Performance Monitoring &amp; Tuning
What procedures test surge detection (simulation, playback) and tune thresholds safely?
How are KPIs (surge event rate, recovery time, max excursion) calculated and reviewed?</t>
  </si>
  <si>
    <t>ASCV Enable &amp; Position Command
What outputs provide ASCV enable and percent‑open (e.g., analog setpoint to positioner, discrete enable/permit)?
Are these signals transmitted via hardwired I/O or digital communications? If digital, what protocols are used (e.g., Ethernet/IP, Profibus, Modbus RTU)?
Rate &amp; Step Control
How does the PLC enforce max opening rate, step size, and hold times for incremental actions?
Are trajectory profiles (ramp vs. step) selectable per event severity?
Command Verification
What return signals (actual position %, end‑of‑travel, “run/fault”) confirm actuation; how are mismatch/timeout alarms prioritized?
Fail‑Safe &amp; Overrides
What fail‑safe behaviors apply on loss of command power, loss of comms, or ESD (e.g., valve drives to a defined position)?
Can authorized operators inhibit ASCV commands (maintenance overrides), and how does the PLC record/announce this condition?
Alarm/Annunciation &amp; Logging
Which alarms (incipient surge detected, confirmed surge, ASCV full‑open, valve fault) are generated and how are SOEs/events logged and published to HMI/Station PLC?</t>
  </si>
  <si>
    <t>Inputs: Unit PLC surge avoidance capabilities require timely/accurate measurement/sensing of compressor inlet flow differential pressure, suction and discharge
pressure, suction and discharge temperature, anti-surge valve position feedback, and logic-based surge limit and surge control state awareness.
Operations: Unit PLC provides damage protection from operation in the defined surge state via manipulation of ASCV capabilities based on logic-enabled compressor state awareness (speed and flow vs discharge pressure) relative to an established surge limit line, recycle trip, and surge control line. Interpretation of ops state at or beyond the surge control threshold results in proportioned open signaling to the ASCV based on a hierarchy of PI or PID algorithms. Inability of the Unit PLC to keep the operational state outside of a surge condition results in a Unit shutdown.
Outputs: Unit PLC to ASCV - enable and %open.</t>
  </si>
  <si>
    <t>The Unit PLC (turbine package controller) provides surge avoidance control for the compressor by continuously monitoring operating conditions and manipulating the Anti-Surge Control Valve (ASCV). Using real-time measurements of suction/discharge pressures, temperatures, and flow differential, the PLC calculates the compressor’s operating point relative to the surge limit line and surge control line on the performance map. When the operating point approaches the surge control threshold, the PLC proportionally opens the ASCV based on PI/PID algorithms to recycle discharge gas back to suction, maintaining flow stability and preventing surge. If the PLC cannot maintain the operating point outside the surge region, it escalates to protective actions, including full ASCV opening and ultimately unit shutdown. This function requires fast, deterministic control and accurate sensing to protect the compressor from severe mechanical damage.</t>
  </si>
  <si>
    <t>Core Measurements
What sensors provide suction pressure, discharge pressure, suction temperature, discharge temperature, and inlet flow differential pressure?
What are the signal types (analog 4–20 mA, HART, digital fieldbus) and update rates for these measurements?
How is flow derived from differential pressure (in PLC or transmitter)?
ASCV Position &amp; Health Feedback
What feedback signals confirm ASCV position (analog %, discrete end-of-travel, LVDT)?
What diagnostics indicate actuator health (instrument air pressure, stroking time, fault status)?
Signal Transmission
Are these signals transmitted via hardwired I/O or digital communications? If digital, what protocols are used (e.g., Ethernet/IP, Profibus, Modbus RTU)?
Are remote I/O modules used to reduce latency?
Validation &amp; Redundancy
Are critical sensors (pressure, temperature, flow) redundant? If so, what voting logic or validation checks are applied?
What filtering (low-pass, median) is used to prevent false surge detection?
Permissives &amp; Interlocks
Which permissives must be satisfied before ASCV control is active (e.g., instrument air available, ESD system healthy)?
Are there coordination signals from fuel control, IGV/bleed, or station-level anti-surge logic?
Data Logging
How are raw and computed values (pressures, temperatures, flow, ASCV position) logged for surge event analysis?
Are SOE timestamps synchronized for surge-related actions?</t>
  </si>
  <si>
    <t>Surge Control Algorithm
How is the operating point calculated (speed and flow vs. discharge pressure)?
How is the surge limit line and surge control line defined and stored in the PLC?
Control Strategy
What PI/PID hierarchy governs ASCV opening (e.g., proportional opening as margin decreases)?
How are rate limits, deadbands, and anti-windup implemented to prevent instability?
Thresholds &amp; Escalation
What conditions trigger initial ASCV opening, full-open command, and unit shutdown?
How are repeated excursions beyond the surge control line handled?
Coordination with Other Controls
How does surge avoidance interact with fuel control, speed/pressure modes, and IGV/bleed positioning?
Are feedforward actions applied during known transients (e.g., rapid load changes)?
Fault Handling
What happens if ASCV fails to respond or position feedback disagrees with command?
What fallback logic applies if critical sensors fail?
Performance Monitoring
How is surge avoidance performance evaluated (e.g., surge margin, ASCV response time)?
Are tuning parameters (PID gains, thresholds) adjustable online or offline?</t>
  </si>
  <si>
    <t>ASCV Command
What outputs provide ASCV enable and position setpoint (% open)?
Are these signals transmitted via hardwired I/O or digital communications? If digital, what protocols are used (e.g., Ethernet/IP, Profibus, Modbus RTU)?
Rate &amp; Position Control
How does the PLC enforce maximum opening rate, step size, and position accuracy?
Are trajectory profiles (ramp vs. step) used for surge avoidance?
Command Verification
What feedback signals confirm ASCV movement (position %, end-of-travel, actuator health)?
How are mismatch or timeout alarms prioritized?
Fail-Safe Behavior
What position does ASCV default to on loss of command, loss of comms, or ESD trip?
Can operators inhibit ASCV control for maintenance, and how is this condition annunciated?
Alarm &amp; Logging
What alarms indicate surge control active, ASCV full-open, valve fault, or unit shutdown due to surge?
How are surge-related events logged and reported to local HMI and station SCADA?</t>
  </si>
  <si>
    <t>Inputs: Control/monitoring of compressor seal gas and/or separation gas systems functionality is provided by the Unit PLC and depends on timely/accurate measurement/sensing of associated system supply pressures, referential differential pressures, flow confirmation, pressure control elements (e.g. pumps, valves), filtering, and leakage detection commonly using local I/O.
Operations: Unit PLC logic leverages local I/O to monitor and maintain the essential gas seal and buffer separation systems that prevent escape (along the shaft and at the casing) of high pressure process gas from the compressor body and into Unit subsystems or local atmosphere.
Outputs: Unit PLC to seal and/or separation gas systems control elements - pumps, valves.</t>
  </si>
  <si>
    <t>The Unit PLC (turbine package controller) supervises and controls the compressor’s seal gas and separation/buffer gas systems to prevent process‑gas escape along the shaft or at the casing, and to protect bearings and auxiliary equipment. It acquires real‑time measurements (pressures, differentials, flows, temperatures, filter status, leak detection), evaluates permissives/interlocks, and commands pumps/valves/regulators to maintain the required pressure, differential pressure, flow quality, and directionality through the seal and separation paths across all unit states (startup, pressurization, steady run, recycle, idle/turning gear, and shutdown). The PLC enforces limit logic and alarms, records events, and provides deterministic actuation to sustain seal integrity and reliability.</t>
  </si>
  <si>
    <t>Seal/Separation Gas Supply &amp; Differential
Which transmitters measure seal gas supply pressure, separation/buffer gas pressure, and the differential pressures referenced to process (e.g., Pd–seal, Ps–seal)?
What are the ranges/accuracy and update rates of these measurements?
Flow Confirmation &amp; Quality
How is flow confirmed into each seal stream (primary, secondary, separation)—flow switch vs. transmitter?
Are there inputs for filter status (DP across filters), coalescer/knockout level/pressure, or heater/cooler service to verify gas quality?
Leakage &amp; Directionality
What signals confirm vent header pressure, leak detection, or reverse‑flow indicators (e.g., differential across labyrinths or carbon rings)?
Are bearing‑side ingress sensors (oil mist, gas detectors) monitored to infer seal path issues?
Valves, Regulators &amp; Pump/Booster Readback
What position/feedback signals exist for seal gas control valves, pressure‑reducing/back‑pressure regulators (smart positioners or discrete limit switches)?
Are pump/booster status inputs (run, fault, speed, discharge pressure) available?
Permissives &amp; Interlocks
Which instrument‑air, power quality, ESD/SIS‑healthy, and station/state permissives must be true before enabling seal system control?
Any unit‑state flags (startup, standby, pressurized hold, depressurization) that adjust seal logic thresholds?
Signal Transmission &amp; I/O Architecture
Are these signals transmitted via hardwired I/O or digital communications? If digital, what protocols are used (e.g., Ethernet/IP, Profibus, Modbus RTU)?
Which points are local I/O versus remote I/O at the skid; what are configured scan times for critical sensors?
Diagnostics &amp; Historian
Are device diagnostics (HART/fieldbus status, sensor health) mapped to the PLC?
How are SOE timestamps synchronized and what data sets (pressures, flows, DP, temperatures, valve positions) are logged for later analysis?</t>
  </si>
  <si>
    <t>Control Philosophy &amp; Setpoints
What setpoints/thresholds govern seal supply pressure, separation gas pressure, and minimum DP to process cavities?
Is there a priority/cascade (e.g., maintain DP first; then trim flow/pressure) and how is it implemented (PI/PID hierarchy)?
State‑Based Logic
How does logic adapt across startup, pressurization, steady run, recycle, idle/turning gear, shutdown (e.g., higher margins during transients, purge/flush steps)?
What actions maintain seal protection during low differential conditions (e.g., enable auxiliary supply path or booster, open specific control valves)?
Quality Management
How are filters/heaters/coolers incorporated (alarms, permissives, automatic changeover)?
What rules handle dew‑point/temperature limits and condensate detection in seal streams?
Directionality &amp; Leakage Control
What logic ensures flow direction (toward vents or back to process) and prevents reverse ingress into the seal cavity and bearing housing?
How are high vent header pressure or unexpected leakage rate handled (alarm/escalation, isolation, controlled rundown)?
Fault Handling &amp; Escalation
What faults (sensor failure, valve not tracking, booster fault, filter bypass) trigger conservative modes, trip thresholds, or unit shutdown?
How are command/feedback mismatches detected and resolved (retry, safe positioning, inhibit)?
Coordination with Unit &amp; Station Controls
How does seal control coordinate with fuel control, surge avoidance, unit valves, and station interlocks to avoid conflicting actions?
Are there feedforward steps during known transients (e.g., enabling separation gas or pre‑pressurizing seal streams before recycle)?
Performance Monitoring &amp; Tuning
What KPIs are tracked (e.g., seal DP margin, leak rate trends, vent header stability, booster uptime)?
How are PID gains, limits, and alarm thresholds reviewed and tuned (online vs. offline procedures)?</t>
  </si>
  <si>
    <t>Valve &amp; Regulator Commands
What outputs drive seal gas control valves and pressure‑reducing/back‑pressure regulators (analog setpoint, discrete open/close, fieldbus write)?
Are these signals transmitted via hardwired I/O or digital communications? If digital, what protocols are used (e.g., Ethernet/IP, Profibus, Modbus RTU)?
Pump/Booster Control
What commands start/stop seal gas pumps/boosters, select speed or capacity, and manage permissives (e.g., minimum suction/discharge pressure)?
What interlocks prevent starting against blocked flow or saturated filters?
Isolation &amp; Purge
What outputs drive isolation, bypass, and purge/flush valves for maintenance or transient protection?
How is sequencing enforced (pre‑checks, timing, confirmation) to avoid pressure shocks or contamination?
Command Verification &amp; Alarming
What return signals (valve position %, end‑of‑travel; pump “run/fault”; regulator status) confirm actuation?
How are mismatch/timeout alarms prioritized and annunciated to HMI/SCADA?
Fail‑Safe &amp; Overrides
What fail‑safe positions apply on loss of command power, loss of comms, or ESD (e.g., isolate or maintain minimum protective flow)?
Can operators inhibit or override seal commands (maintenance mode), and how does the PLC log/announce this condition?</t>
  </si>
  <si>
    <t>Inputs: Control/monitoring of compressor lube oil systems functionality is provided by the Unit PLC and depends on timely/accurate measurement/sensing of associated system temperatures, supply pressures, referential differential pressures, flow confirmation, Unit run/cooldown status, pressure control elements (e.g. pumps, valves), and filtering, all implemented commonly using local I/O.
Operations: Unit PLC logic leverages local I/O and tag parameters to monitor lube oil system health and Unit operational state (startup, run, cool down, stopped) to manage required lubrication and cooling functionality using tiered AC, DC, and mechanical pumping elements.
Outputs: Unit PLC to lube oil systems control elements - pumps, fans, valves per configured/programmed Unit start/shutdown logic and interlocks.</t>
  </si>
  <si>
    <t>The Unit PLC (turbine package controller) supervises and controls the lube oil system that lubricates and cools rotating elements (turbine/compressor bearings, gears, and associated components). It acquires real‑time measurements of oil pressure, temperature, flow, and filter differential, evaluates unit operational state (startup, run, cooldown, stopped), and commands AC auxiliary, DC emergency, and mechanical/shaft‑driven pumps, as well as cooler fans/valves and bypass/isolation valves. The PLC enforces permissives, interlocks, and alarms to maintain minimum oil pressure/temperature and appropriate cooling across transients, including auto‑switchover to standby and emergency pumping when needed. Event logging and deterministic control help protect bearings and shafts during start, coast‑down/turning gear, pressurized holds, and shutdown sequences.</t>
  </si>
  <si>
    <t>Pressure &amp; Differential
What transmitters measure main lube header pressure and bearing supply pressure, and what low/low‑low thresholds are configured?
How is filter/cooler differential pressure measured and alarmed?
Temperature &amp; Cooling
What sensors measure reservoir oil temperature, bearing metal temperature proxies, and cooler inlet/outlet oil temperatures?
Are there inputs indicating cooler service (cooling water/air availability, fan status)?
Flow Confirmation
How is oil flow confirmation implemented (flow switches or transmitters per header/branch), and what ranges/update rates are specified?
Pump Feedback (Tiered Pumps)
What status/feedback is available for AC auxiliary pump, DC emergency pump, and shaft‑driven/main pump (run, fault, speed, current/voltage, actuator permissives)?
Are start permissives and auto‑switchover conditions captured as inputs?
Valve/Actuator Feedback
What position/limit feedback is provided for bypass, isolation, temperature control (bypass mixing), and cooler control valves?
Unit State &amp; Turning Gear
Which unit state flags (startup, run, cooldown, stopped, turning gear) are fed to lube control logic?
Are shaft speed and coast‑down timers available as inputs to lube sequencing?
Power &amp; Air Services
What inputs indicate AC/DC power quality/availability, instrument air (if pneumatic actuators are used), and any UPS status for critical I/O?
Filtering &amp; Cleanliness
Are filter DP, filter bypass indication, oil contamination/particle count, and moisture/water‑in‑oil sensors monitored?
Signal Transmission &amp; I/O Architecture
Are these signals transmitted via hardwired I/O or digital communications? If digital, what protocols are used (e.g., Ethernet/IP, Profibus, Modbus RTU)?
Which points are local I/O versus remote I/O, and what scan times are configured for critical sensors (pressure/temperature/flow)?
Diagnostics &amp; Historian
Are device diagnostics (HART/fieldbus status, sensor health) mapped to the PLC?
What SOE timestamping and trend logging (pressure, temperature, DP, pump status) are configured for post‑event analysis?</t>
  </si>
  <si>
    <t>Minimums &amp; Limits
What minimum header pressure and temperature ranges are enforced in each state (startup, run, cooldown, stopped)?
How are low and low‑low pressure trip/alarm setpoints defined and validated?
Pump Tiering &amp; Auto‑Switchover
What logic governs pump selection/tiering (main/shaft‑driven during run; AC auxiliary during startup/cooldown/low speed; DC emergency on low‑low pressure or power loss)?
How are auto‑switchover timers, interlocks, and re‑start inhibit handled to avoid rapid cycling?
Startup &amp; Pre‑Lube
What pre‑lube sequence ensures oil temperature/pressure readiness prior to turbine roll (e.g., warm‑up circulation, cooler bypass control)?
How are start permissives structured (reservoir level/temperature, filter DP within limits, auxiliary pump running)?
Run‑Time Cooling &amp; Temperature Control
How does the PLC regulate cooler fans/valves or mixing/bypass to maintain oil temperature setpoint across load changes?
Are feedforward actions applied for anticipated thermal transients (e.g., load ramp, recycle events)?
Coast‑Down &amp; Turning Gear
What coast‑down criteria (speed thresholds, timer) maintain auxiliary lube pressure until bearing safe temperature/pressure is reached?
How long is turning gear lube maintained, and what conditions release control to stopped state?
Fault Handling &amp; Trips
What faults (pump fail to start, valve not tracking, sensor failure, excessive filter DP) trigger alarms, conservative control, or unit trip?
How is command/feedback mismatch detected and resolved (retry, alternate path, safe stop)?
Cleanliness &amp; Conditioning
What actions occur on high filter DP or contamination detection (automatic filter changeover, bypass interlocks, alarm escalation)?
Are reservoir heaters or coolers sequenced to maintain viscosity/temperature limits?
Coordination with Other Unit Controls
How does lube control coordinate with fuel, surge avoidance, seal systems, and ESD/SIS logic to prevent conflicting actions?
What permissives are exported to unit start/stop sequences (e.g., “Lube Ready/Not Ready”)?
Performance Monitoring &amp; Tuning
What KPIs are tracked (e.g., pressure stability, temperature profile, filter DP trend, pump runtime/starts)?
How are PID gains, setpoints, and rate limits reviewed and tuned (online vs. offline procedures)?</t>
  </si>
  <si>
    <t>Pump Commands
What outputs start/stop AC auxiliary, DC emergency, and shaft/main pump permissives (contact closures, MCC start commands, VFD control)?
Are these signals transmitted via hardwired I/O or digital communications? If digital, what protocols are used (e.g., Ethernet/IP, Profibus, Modbus RTU)?
Cooler &amp; Temperature Control
What outputs position cooler control valves, bypass/mixing valves, and/or command cooler fans (analog setpoints, discrete signals)?
How are rate limits and fail‑safe positions enforced to avoid thermal shock?
Valve Actuation &amp; Isolation
What commands operate isolation/bypass/return valves during maintenance or abnormal conditions?
How is sequencing (pre‑checks, timing, confirmations) enforced for valve moves?
Command Verification &amp; Alarming
What return signals (valve position %, end‑of‑travel; pump “run/fault”; VFD status) confirm execution?
How are mismatch/timeout alarms prioritized and annunciated to HMI/SCADA?
Fail‑Safe &amp; Overrides
What fail‑safe behaviors apply on loss of command power, loss of comms, or ESD (e.g., start DC emergency pump, hold cooler bypass)?
Can authorized personnel inhibit lube outputs for maintenance, and how is that condition logged/announced?
Event Logging
What SOE entries and trend points (pressure, temperature, DP; pump starts/stops; valve moves) are recorded for diagnostics and post‑event review?</t>
  </si>
  <si>
    <t>Inputs: Monitoring for the presence of engine and/or compressor vibration issues commonly uses a dedicated combination of discrete devices and specilialized sensors -  proximitor probes and accelerometers to develop radial and thrust vibration “measurement” for the engine and compressor shaft/body segments, as well as  an intermediary digital device that provides analytics . Proximity probes measure gap DC voltage between the probe and the moving surface used for high frequency displacement, and the accelerometers (seismic devices) measure lower frequency displacements. Unit PLC input is commonly local I/O or digital communications related to the vibration analytics.
Operations: Unit PLC logic leverages either hardwired I/O or digital communication of analytics  to determine protective actions based on vibration tolerances.
Outputs: Unit PLC logic directs actuation of Unit fuel gas valves and Unit valves, while managing critical subsystems (seals, lube oil, etc.) to achieve a safe shutdown and avoid damage from excessive vibration.</t>
  </si>
  <si>
    <t>The Unit PLC (turbine package controller) consumes vibration analytics from a dedicated machinery protection subsystem that combines discrete devices and specialized sensors—primarily eddy‑current proximity (displacement) probes for shaft motion and seismic accelerometers for casing/body motion. The analytics device (rack/transmitter) computes radial and thrust vibration, overall amplitudes, banded values, and alarm/danger status. The Unit PLC ingests those results via local I/O or digital communications and applies protective logic (tolerances, timers, voting) to command safe actions—modulating or tripping fuel gas valves, coordinating unit valves, and maintaining critical subsystems (lube oil, seals) to avoid damage and achieve a safe shutdown when vibration exceeds allowable limits.</t>
  </si>
  <si>
    <t>Sensor Suite &amp; Channels
Which proximity probe channels (radial X/Y per bearing, thrust position) and seismic accelerometer channels (casing/body) are present, and how are they mapped to engine vs compressor segments?
What are each channel’s measurement units (e.g., mils/μm peak‑to‑peak, mils for thrust, in/s or g RMS/peak) and update rates?
Analytics / Monitor Outputs
What outputs from the vibration monitor (e.g., rack/module) are available to the Unit PLC: overall amplitude, band alarms, status (OK/Not OK), alert/danger relays, vector/phase (if provided), trip/latched trip?
Are alarm setpoints (Alert/Danger) stored in the monitor or in the PLC; how are they accessed?
Signal Transmission &amp; Protocols
Are these signals transmitted via hardwired I/O or digital communications? If digital, what protocols are used (e.g., Ethernet/IP, Profibus, Modbus RTU)?
If the analytics device supports Ethernet or serial links (e.g., gateway to PLC), what data model (tags/registers) and scan periods are used?
Probe/Accelerometer Health &amp; Validation
What OK/not‑OK, bias/gap voltage, sensor fault, open/short diagnostics are available to validate sensor integrity?
How is channel validation/voting implemented (e.g., require healthy status before acting on alarms)?
Reference / Keyphasor &amp; Speed (if applicable)
Is a Keyphasor/once‑per‑rev input present for spectral/phase or synchronous vibration features; how is speed data shared with the PLC?
Unit State Context
Which unit state flags (startup, run, coast‑down/turning gear, recycle, shutdown) feed the PLC’s vibration logic?
Are state‑dependent limits (higher during startup/coast; tighter at baseload) provided by the analytics device or maintained in the PLC?
I/O Architecture &amp; Time Stamping
Which points are local I/O vs remote I/O; what latency or SOE timestamp capability exists for alarm/danger events?</t>
  </si>
  <si>
    <t>Alarm Handling &amp; Tolerances
How are Alert vs Danger thresholds applied (per channel, per machine train), and what time delays or integration windows prevent false trips?
Are state‑based tolerances used (e.g., relaxed during roll‑up, tighter during steady run), and how are they switched?
Voting &amp; Trip Logic
What voting schemes (e.g., 2‑out‑of‑3 for trip; single‑channel alert for advisory) are implemented across redundant sensors or bearings?
How are latched trips handled and reset (manual confirmation, permissives satisfied)?
Action Hierarchy
What is the hierarchy of protective actions when vibration escalates: fuel cutback, valve positioning (e.g., recycle open to unload), speed reduction, unit trip/shutdown?
How are seal and lube oil subsystems managed during a vibration‑initiated rundown/coast‑down to protect bearings and prevent rubs?
Mode Coordination
How does vibration protection coordinate with surge avoidance, fuel control, IGV/bleed, and unit valve control to avoid conflicting commands?
Are feedforward actions used (e.g., pre‑emptive unloading if trend indicates approaching danger)?
Diagnostics &amp; False‑Alarm Mitigation
What logic filters electrical noise, sensor bias drift, or installation issues (loose mounts, cable faults)?
How are OK/fault states and bias/gap voltage trends used to distinguish instrumentation issues from real machine vibration?
Event Recording &amp; Post‑Event Analysis
What SOE entries and trends (amplitude, speed, unit state, fuel command) are recorded on alarm/danger; how are they retained for root‑cause analysis?
Does the PLC request snapshot/FFT/band data from the analytics device for post‑event review (if available)?</t>
  </si>
  <si>
    <t>Fuel &amp; Unit Valve Control
What outputs command fuel gas valves (modulate/cut) and unit valves (e.g., recycle/vent/bleed) under vibration alarms?
Are these signals transmitted via hardwired I/O or digital communications? If digital, what protocols are used (e.g., Ethernet/IP, Profibus, Modbus RTU)?
Runback &amp; Trip Sequences
What runback logic (controlled speed/pressure reduction) precedes a trip, and what conditions escalate to immediate shutdown?
How are cooldown/coast‑down outputs sequenced to maintain lube/seal integrity?
Subsystem Management
What outputs maintain lube oil pumps, seal gas boosters, and cooler fans/valves during vibration events to avoid secondary damage?
Are interlocks enforced to prevent unintended isolation of critical subsystems?
Command Verification &amp; Alarming
What return signals (valve position %, end‑of‑travel; pump run/fault; fuel valve status) confirm execution of protective commands?
How are mismatch or timeout alarms prioritized and annunciated to HMI/SCADA and the analytics device?
Reset &amp; Inhibit Management
What outputs/logical flags handle trip reset, channel inhibit/bypass (for maintenance), and how are such states logged and time‑bounded?</t>
  </si>
  <si>
    <t>Inputs: Temperature monitoring in support of Unit control/management actions is prevalent across and throughout turbine/compressor systems - inlet air, air compressor, combustion, fuel, gas and power turbines, waste exhaust, compressor suction/discharge, critical subsystems, etc. Unit PLC input is commonly local I/O.
Operations: Unit PLC logic leverages temperature local I/O and calculated derivatives to monitor and manage nearly all aspects of Unit operations within engineered tolerances for equipment and materials.
Outputs: Unit PLC logic directs actuation of system control devices to achieve desired operational state - various and assocated with temperature measurement being referenced.</t>
  </si>
  <si>
    <t>The Unit PLC (turbine package controller) continuously acquires and supervises temperature measurements across the turbine–compressor package to keep the unit operating within engineered limits. Typical measurement domains include inlet air, compressor air/gas, combustion and fuel system, turbine section(s) and exhaust, compressor suction/discharge, and critical subsystems (lube oil, seal/buffer gas, bearings, gearboxes, cooling assemblies). Using local I/O from RTDs/thermocouples (and transmitters where applicable), the PLC computes averages, maxima, spreads, gradients, and rates‑of‑change. These values drive limiters, alarms, and trips; they also feed control strategies (e.g., fuel scheduling, IGV/bleed positioning, cooling/heating valve modulation) to maintain performance and component integrity during startup, ramp, steady run, transients/recycle, cooldown, and shutdown.</t>
  </si>
  <si>
    <t>Sensor Coverage &amp; Mapping
Which measurement points are instrumented (e.g., inlet air, compressor discharge air/gas, combustor/transition, fuel temperature, turbine section/exhaust, suction/discharge, lube oil, seal/separation gas, bearing housings, cooler in/out)?
How are these points tagged and grouped (arrays, per stage, per can/sector, per bearing)?
Sensor Technologies &amp; Ranges
What sensor types are used (RTDs, thermocouples, smart transmitters) and their ranges/accuracy?
Are there cold‑junction compensation or transmitter linearization functions in use for thermocouples?
Redundancy, Voting &amp; Validation
Which measurements use redundant sensors or multi‑point arrays (e.g., exhaust TC arrays), and what voting/selection (max/mean/exclude bad) rules are applied?
What sanity checks (out‑of‑range, rate‑of‑change plausibility, drift detection) are implemented?
Derived Values &amp; Preprocessing
Which computed values are required: averages, maximum/minimum, spread (max–min), gradients (ΔT across components), rates‑of‑change, dew‑point margin (fuel/seal gas), viscosity‑related temperature targets (lube)?
Where are these calculated (transmitters vs PLC)?
Update Rates &amp; Timestamping
What scan rates are used for each temperature class (fast TC arrays vs slower RTDs)?
Are SOE timestamps captured for over‑temperature alarms/trips?
Signal Transmission &amp; I/O Architecture
Are these signals transmitted via hardwired I/O or digital communications? If digital, what protocols are used (e.g., Ethernet/IP, Profibus, Modbus RTU)?
Which points are local I/O versus remote I/O at skid/cooling packages; are there gateway modules?
Diagnostics &amp; Historian
What device diagnostics (sensor health, wiring integrity, transmitter alerts) are mapped to the PLC?
Which trend tags (key temperatures, spreads, computed margins) are archived for analysis?</t>
  </si>
  <si>
    <t>Limiters &amp; Protective Logic
Which temperature limiters (e.g., firing/exhaust limit, bearing housing limit, lube oil min/max) constrain fuel demand, IGV/bleed, and loading?
What alarms/trips and time delays are applied to mitigate transient spikes vs persistent over‑temperature?
Control Strategies Driven by Temperature
How does temperature inform fuel scheduling (PI/PID), IGV/bleed modulation, cooling fan/valve control, bypass/mixing, inlet heating/anti‑icing, or recycle?
Are feedforward terms used (e.g., ambient/inlet temperature on startup or rapid load change)?
Array Logic (Exhaust/Section Temperatures)
How is exhaust temperature spread calculated and used (e.g., limit fuel, alarm for combustor imbalance)?
What rules exclude bad sensors and substitute with rolling mean or neighbor interpolation?
State‑Based Behavior
How are startup warm‑up, hold at temperature, ramp limits, steady‑state bounds, cooldown/turning gear temperature criteria enforced?
What adjustments apply during recycle/surge avoidance to keep thermal margins safe?
Subsystem‑Specific Management
Lube oil: temperature‑based heater/cooler/bypass control to meet viscosity and bearing cooling needs.
Seal/buffer gas: temperature alignment to maintain dew‑point margin and avoid condensate.
Fuel system: monitor fuel temperature for combustion stability and DLE/DLN constraints (if applicable).
Fault Handling
How are sensor faults (open/short/bias drift) distinguished from true thermal events; what fallback and voting rules apply?
What actions occur on loss of critical temperature inputs (conservative derate, controlled rundown)?
Performance Monitoring &amp; Tuning
Which KPIs are tracked (exhaust average/spread trends, bearing temp margins, lube temp stability, ambient → performance correlation)?
How are PI/PID gains, setpoints, and limit curves managed (online tuning vs maintenance window)?</t>
  </si>
  <si>
    <t>Fuel &amp; Air Path Control
What outputs modulate fuel gas valves (e.g., metering/ASCV schedule), IGV, bleed and bypass/recycle valves in response to temperature limiters?
Are these signals transmitted via hardwired I/O or digital communications? If digital, what protocols are used (e.g., Ethernet/IP, Profibus, Modbus RTU)?
Cooling/Heating Devices
What commands operate cooler fans, cooling water/air control valves, oil cooler bypass/mixing, inlet air heaters/anti‑ice, and seal gas conditioning elements?
What rate limits and fail‑safe positions are enforced to avoid thermal shock?
Sequencing &amp; Interlocks
How are startup warm‑up and cooldown sequences enforced (timers, permissives, confirmation of temperature targets)?
What interlocks prevent conflicting actions (e.g., inhibit fuel increase when exhaust spread exceeds threshold)?
Command Verification &amp; Alarming
What return signals (valve position %, end‑of‑travel; fan run/fault; temperature achieved) confirm execution?
How are mismatch/timeout alarms prioritized and annunciated to HMI/SCADA?
Trip/Derate Actions
What outputs implement derate, runback, or trip on over‑temperature conditions; how is coast‑down heat management (lube/seals) guaranteed?
How are SOE entries and temperature snapshots logged for post‑event analysis?</t>
  </si>
  <si>
    <t>Inputs: ESD PLC safety functions require timely/accurate detection and/or measurement of a breadth of compressor building(s) and station operations and environmental parameters - flame presence, explosive concentration of natural gas, availability of station valve actuation medium (e.g. instrument air, etc.), human operated shutdown buttons/switches, or any undesired/unsafe station operation state (high discharge or low suction pressure, loss of DC power, high temp discharge gas, etc.). ESD PLC input is most commonly hardwired I/O but may include serial or digital communications.
Operations: ESD PLC logic leverages either hardwired I/O or communicated data flow  to assess the need for protective shutdown actions at the Unit or Station level. A Unit ESD results in zeroing Unit speed setpoint, Unit stop command, cutoff of fuel gas, Unit piping isolation, and Unit piping venting. Station ESD actions are similar, though using station-level piping/valving, venting station piping gas to atmosphere, and includes ESD of individual Units.
Outputs: ESD PLC logic leverages hardwired I/O and communicated commands to deliver an ESD to individual Units as well as direct actuation of Station  ESD valving to achieve shut-in and venting.</t>
  </si>
  <si>
    <t>The Emergency Shutdown controller (ESD PLC) supervises station‑wide and unit‑level protective actions. It continuously evaluates safety‑critical inputs from buildings, station piping and equipment, turbine/compressor packages, and environmental detection systems. When unsafe conditions or commanded ESDs are detected, it executes deterministic, predefined shutdown sequences to bring individual Units and/or the entire station to a safe state—cutting off fuel, zeroing speed/setpoints, isolating process gas via ESD valves, and venting designated piping segments. The ESD PLC prioritizes fail‑safe design, hardwired actuation paths, and alarm/trip latching; it may also accept and publish essential status via communications, but final actuation and permissive interlocks are typically hardwired to ensure functional safety.</t>
  </si>
  <si>
    <t>Hazard Detection &amp; Environment
What devices detect flame presence, combustible gas concentrations (LEL), and smoke/fire within compressor buildings and enclosures?
Where are detectors located (zones/rooms, turbine enclosure, pipe racks), and what setpoints trigger alarm vs trip?
Process Safety &amp; Station Conditions
Which process parameters are monitored for ESD criteria (e.g., high discharge pressure, low suction pressure, high discharge gas temperature, loss of instrument air, loss of DC power, seal gas/lube oil low‑low, overspeed from unit protection)?
Are these inputs direct hardwired trips or validated via supervisory data? What time delays or rate‑of‑change checks apply?
Human‑Operated Initiation
Where are ESD pushbuttons/switches (local panels, building exits, control room)?
Do they provide maintained or momentary contacts; are they latching in the ESD PLC?
Valve Actuation Medium &amp; Readiness
How is instrument air (or hydraulic/electric actuator power) availability monitored for station/Unit ESD valves?
Are there low pressure or drive power alarms that preclude reliable ESD actuation?
Unit &amp; Station Interfaces
What interlocks/permissives are exchanged between Unit PLCs, Station PLC, and the ESD PLC (e.g., “Unit trip commanded,” “fuel isolated,” “valves closed,” “vent open”)?
Which signals are authoritative for trip logic (ESD PLC vs Unit/Station PLC)?
Signal Transmission &amp; I/O Architecture
Are these signals transmitted via hardwired I/O or digital communications? If digital, what protocols are used (e.g., Ethernet/IP, Profibus, Modbus RTU)?
Which inputs are safety‑rated hardwired (e.g., SIL targets) versus informational (status only)?
Redundancy, Voting &amp; Health
Which inputs use redundant channels (e.g., dual gas detectors per zone) and what voting (1oo2, 2oo3) logic is configured?
How are device health (OK/fault) states and line monitoring (open/short detection) handled?
Timestamping &amp; Event Capture
Are SOE timestamps captured for ESD triggers and precursors (ms resolution)?
What pre‑event buffers or snapshots (pressure/temp states) are retained?</t>
  </si>
  <si>
    <t>ESD Levels &amp; Scope
What conditions initiate a Unit ESD versus a Station ESD; how is scope arbitration performed when simultaneous triggers occur?
Are partial area ESDs supported (e.g., building‑zone isolation) or only full station?
Sequence Definition (Unit ESD)
What steps, order, and timers define a Unit ESD:
Zero speed setpoint and Unit stop command
Fuel gas cutoff (isolation valves close, purge logic if applicable)
Unit piping isolation (suction/discharge)
Unit venting (designated vents blow down to atmosphere or flare)
What confirmation states are required before advancing each step (valve closed proof, vent open proof)?
Sequence Definition (Station ESD)
What actions define a Station ESD:
Command all Units ESD
Station suction/discharge isolation via station ESD valves
Station piping venting (headers/segments per design)
How are header pressures monitored to validate shut‑in and vent completion?
Fail‑Safe Behavior &amp; Power Loss
What behavior applies on loss of DC power, communication drop, or instrument air failure (spring‑return, fail‑closed/open specifics)?
Are mechanical latch or de‑energize‑to‑trip strategies used for final elements?
Voting, Latching &amp; Reset
Which trip functions are latched; what manual reset and cause‑diagnostics are required?
Are reset permissives (gas free, detector clear, pressure normal) enforced before allowing restart?
Interlocks &amp; Dependencies
What interlocks prevent conflicting actions (e.g., vent not opened until downstream isolation proven; inhibit restart until ESD valve status OK)?
How is ESD priority enforced over Unit/Station PLC commands (ESD overrides all)?
Alarm/Annunciation &amp; SOE
Which alarms accompany pre‑trip, ESD active, sequence step fail, and post‑ESD verification states?
How are SOE records used to reconstruct sequence timing and trigger sources?
Testing &amp; Proof
What test modes (functional tests of inputs/outputs, partial stroke tests) are provided without jeopardizing safety?
Are periodic proof‑tests scheduled and recorded for compliance (valve stroke, detector response)?</t>
  </si>
  <si>
    <t>Unit‑Level Actuation
What outputs send Unit stop, setpoint zeroing, and fuel isolation commands to the Unit package?
Are fuel valves driven by hardwired outputs or via a Unit PLC/ESD interface?
Station ESD Valves &amp; Vents
What outputs actuate station suction/discharge ESD valves (open/close), block valves, and vent/blowdown valves?
What position feedback (end‑of‑travel limits, analog position) is required to validate each move?
Command Pathing &amp; Protocols
Are these output commands transmitted via hardwired I/O or digital communications? If digital, what protocols are used (e.g., Ethernet/IP, Profibus, Modbus RTU)?
Are safety‑rated outputs (e.g., de‑energize‑to‑trip relays) employed for final elements?
Power &amp; Actuation Medium Management
What outputs/control paths maintain or shed instrument air manifolds, hydraulic power units, or solenoid pilots during ESD?
Are redundant solenoids or dual coils used; how is coil health reported?
Verification &amp; Alarming
What return signals (valve closed proof, vent open proof, pressure decay confirmation) confirm safe state?
How are mismatch, timeout, or partial stroke failure alarms prioritized and annunciated?
Broadcasts &amp; Inter‑System Notifications
What outputs/flags notify Unit PLCs, Station PLC, and SCADA of ESD active and ESD completion?
Is there an ESD summary published (initiating cause, scope, steps completed) for operators?</t>
  </si>
  <si>
    <t>Inputs: Commonly multiple multispectrum infrared sensors with onboard analytics to determine presence of flame from hydrocarbons.
Operations: Device provides flame detection/determination measurement and notification as well as device health/fault  status for a targeted area on a Unit or within the Station compressor bulding.
Outputs: Common to provide range of discrete N.O. and N.C. contacts as well as a 4-20mA analog measured value, possibly HART compatible. Typical to hardwire analog, alarm discrete, and fault discrete directly to ESD PLC.</t>
  </si>
  <si>
    <t>In the compressor‑station context, multispectrum infrared (IR) flame detectors (optionally UV/IR variants) provide fast, reliable detection of hydrocarbon flame within turbine enclosures and compressor buildings. Each detector performs onboard spectral analytics to discriminate true flame signatures from non‑flamming radiant sources and environmental interference. The ESD PLC ingests detector status to initiate safety actions at the Unit or Station level—prioritizing hardwired, fail‑safe signaling (alarm and fault) with optional analog (4–20 mA) and smart diagnostics (e.g., HART). The ESD PLC applies deterministic logic (zonal coverage, voting, latching, reset permissives) to command shut‑in, fuel isolation, and venting when flame is confirmed or when detectors report faults that compromise fire detection integrity.</t>
  </si>
  <si>
    <t>Detector Type &amp; Coverage
What detector technology is deployed (multispectrum IR, UV/IR, IR3), and what field‑of‑view and max detection distance are specified for the turbine package and building zones?
How many detectors per zone and what overlap ensures coverage of shadowed areas and potential flame points?
Performance &amp; Settings
What response time (e.g., Talarm) and sensitivity levels (low/med/high) are configured?
Which alarm modes are used (instant alarm vs time‑weighted integration), and do detectors support alarm latching or ESD PLC‑based latching?
Onboard Analytics &amp; Nuisance Rejection
How do detectors handle hot machinery surfaces, sunlight/arc welding, steam, fog, dust?
Are masking or inhibit functions needed during maintenance activities, and how are they supervised?
Health &amp; Self‑Test
What self‑test and auto‑diagnostics (window contamination, internal fault, power fault) are available?
How are proof‑tests performed (external test lamps, built‑in test outputs), and how is test mode signaled to the ESD PLC?
Signal Interfaces to ESD PLC
Which outputs are provided per detector:
Discrete alarm (N.O./N.C.), discrete fault (N.O./N.C.), maintenance/trouble,
4–20 mA status (e.g., healthy, alarm, fault, inhibit), HART diagnostics?
Are these signals transmitted via hardwired I/O or digital communications? If digital, what protocols are used (e.g., Ethernet/IP, Profibus, Modbus RTU)?
Power &amp; Circuit Supervision
What power supply (DC voltage, current draw) and intrinsically safe or explosion‑proof requirements apply?
Are supervised circuits used (e.g., end‑of‑line, line‑monitoring) to detect open/short conditions on alarm and fault lines?
Environmental &amp; Installation
What hazardous area ratings (Class/Division or Zone), temperature range, and ingress protection are required?
Are detectors mounted to minimize vibration and allow cleaning/inspection access?
Zoning &amp; Voting
How are detectors grouped into zones, and what voting logic (e.g., 1oo1, 1oo2, 2ooN) is defined for Unit vs Station ESD?</t>
  </si>
  <si>
    <t>Alarm Evaluation &amp; Debounce
What validation timers or persistence checks are applied to detector alarms to avoid transient false positives?
Are state‑based thresholds (startup, purge, hot restart) applied differently than steady‑state operation?
Voting &amp; Latching
What voting rules per zone initiate Unit ESD versus Station ESD?
Are alarms latched in the ESD PLC until manual reset with explicit reset permissives (gas concentration clear, detector healthy)?
Fault Handling &amp; Degraded Coverage
How does the ESD PLC respond to detector fault/inhibit (e.g., escalate to degraded mode, require additional detectors to vote, inhibit restart)?
What alarm‑on‑fault policies apply if coverage is lost in critical zones?
ESD Initiation &amp; Sequencing
Upon flame confirmation, what sequence executes (fuel isolation, unit/station isolation valves close, vent/blowdown, local alarms)?
How are step confirmations (valve positions, pressure decay) required before proceeding?
Maintenance Overrides &amp; Testing
How are maintenance overrides managed (ESD PLC inhibit flags, time‑bounded, logged), and what test modes allow end‑to‑end functional checks without tripping?
Are partial stroke or simulation functions supported for periodic proof testing?
Annunciation &amp; SOE
What operator messages, audible/visual alarms, and sequence‑of‑events (SOE) timestamps are generated on alarm/fault/reset?
How is initiating cause and zone identification displayed/logged?</t>
  </si>
  <si>
    <t>ESD Protective Actions
What outputs command Unit stop/setpoint zeroing, fuel gas cutoff, unit/station isolation (suction/discharge ESD valves), and venting/blowdown?
Notification &amp; Interlocks
What outputs drive local beacons/sirens and facility alarm systems; how are interlocks enforced to prevent conflicting actions (e.g., vent only after isolation proved)?
Command Pathing &amp; Protocols
Are these output commands transmitted via hardwired I/O or digital communications? If digital, what protocols are used (e.g., Ethernet/IP, Profibus, Modbus RTU)?
Are de‑energize‑to‑trip relays used for final safety elements; how is output line supervision implemented?
Feedback &amp; Verification
What return signals (valve end‑of‑travel, pressure decay to target, alarm silenced/acknowledged) confirm successful execution?
How are mismatch/timeout conditions alarmed and escalated?
Reset &amp; Restore
What reset outputs/flags clear latched alarms after conditions normalize and reset permissives are met?
How are post‑ESD checks (detector health, gas levels) enforced before enabling restart?</t>
  </si>
  <si>
    <t>Inputs: Commonly multiple infrared sensors with onboard analytics to determine presence of hydrocarbons.
Operations: Device provides gas/methane detection/sensing and notification as well as device health/fault  status for a targeted area on a Unit or within the Station compressor bulding.
Outputs: Common to provide range of discrete N.O. and N.C. contacts as well as a 4-20mA analog measured value, possibly HART and Modbus compatible. Typical to hardwire analog, alarm discrete, and fault discrete directly to ESD PLC.</t>
  </si>
  <si>
    <t>In the compressor‑station and turbine‑package context, fixed infrared (IR) hydrocarbon gas detectors deliver continuous monitoring for combustible gases (typically reported as % LEL). Devices use onboard spectral analytics and fail‑safe diagnostics (e.g., heated optics, dirty‑optics indication) to provide alarm, fault, and analog (4–20 mA) outputs. Many also expose smart diagnostics via HART and/or Modbus RS‑485. The ESD PLC ingests these signals and applies deterministic, safety‑graded logic (zonal voting, latching, reset permissives) to trigger Unit or Station emergency actions—fuel isolation, mechanical isolation (suction/discharge), and controlled vent/blowdown—when combustible gas is detected or when detector integrity is compromised.</t>
  </si>
  <si>
    <t>Detector Technology &amp; Coverage
What detector types are deployed per area: point IR (diffusion) vs open‑path IR (line‑of‑sight)? What certified measurement ranges (e.g., 0–100% LEL for point; LFL‑meters for open‑path) are specified?
Where are detectors mounted (turbine enclosure, compressor building zones, pipe racks)? What overlap/line‑of‑sight rules ensure coverage of leak sources and blind spots?
Signal Interfaces into the ESD PLC
Which outputs are provided per detector: 4–20 mA (%LEL), discrete alarm (N.O./N.C.), discrete fault (N.O./N.C.), and optional HART/Modbus RS‑485 for diagnostics/configuration?
Are these signals transmitted via hardwired I/O or digital communications? If digital, what protocols are used (e.g., Ethernet/IP, Profibus, Modbus RTU)?
How are line‑supervision and de‑energize‑to‑safe conventions implemented on alarm/fault circuits?
Performance &amp; Environmental Resilience
What response times (e.g., T90 ≤ a few seconds for methane), fail‑safe behaviors, and heated optics/condensation control features are required for local conditions?
What hazardous‑area approvals, temperature range, IP rating, and materials (e.g., SS316) apply?
Alarm Philosophy &amp; Setpoints
What low (early warning) and high (escalation) alarm setpoints are used (commonly ~20–25% LEL and ~40–50% LEL, respectively)?
Are setpoints harmonized with facility alarm philosophy and applicable standards/guidelines?
Health, Self‑Test &amp; Proof‑Testing
How are device health states indicated (e.g., fault relay, 0–2 mA ranges) and mapped to the ESD PLC?
What proof‑testing method/frequency (bump tests, remote test source) is mandated, and how are temporary inhibits annunciated and time‑bounded?
Power &amp; Wiring
What 24 VDC supply and consumption limits, cable types/lengths, and RS‑485/fieldbus wiring practices are required?
Zoning &amp; Voting
How are detectors grouped into zones and what voting logic (e.g., 1oo1 in high‑risk zones, 2ooN where nuisance likelihood is higher) is configured for Unit vs Station actions?</t>
  </si>
  <si>
    <t>Alarm Evaluation &amp; Debounce
What persistence timers or rate‑of‑change filters are applied to distinguish true leaks from transient spikes (vent drafts, maintenance)?
Are state‑based rules (startup, purge, hot restart) applied to adjust evaluation criteria?
Voting &amp; Scope Determination
What voting rules per zone initiate Unit ESD vs Station ESD?
How are point and open‑path detections combined to avoid missed events and reduce false trips?
Fail‑Safe &amp; Fault Handling
How does the ESD PLC respond to detector fault/inhibit in critical zones—e.g., degraded‑coverage alarms, stricter voting, restart restrictions, or maintenance escalation?
ESD Initiation &amp; Sequencing
On confirmed escalation (high alarm or multi‑channel concurrence), what sequence executes: fuel cutoff, Unit/Station isolation valves close, vent/blowdown, audible/visual alarms?
What step confirmations (valve end‑of‑travel, pressure decay to target) are required before advancing?
Annunciation, SOE &amp; Diagnostics
What operator messages (detector ID, zone, %LEL) and SOE timestamps are recorded?
How are diagnostic records (dirty optics, path integrity, supply voltage) retrieved and trended?
Maintenance Overrides &amp; Testing
How are test/inhibit modes requested, time‑bounded, logged, and cleared without compromising coverage or unintentionally suppressing safety actions?</t>
  </si>
  <si>
    <t>Protective Actions
What outputs command Unit stop/setpoint zeroing, fuel gas isolation, Unit/Station ESD valves (suction/discharge), and vent/blowdown?
Command Pathing &amp; Protocols
Are these output commands transmitted via hardwired I/O or digital communications? If digital, what protocols are used (e.g., Ethernet/IP, Profibus, Modbus RTU)?
Are safety‑rated hardwired outputs (e.g., de‑energize‑to‑trip relays) employed for final elements?
Interlocks &amp; Rate Limits
What interlocks prevent conflicting actions (e.g., vent only after isolation proof), and what rate limits apply to achieve a safe state without inducing upsets?
Feedback &amp; Verification
What return signals confirm execution (valve closed/open proof, header pressure decay, %LEL trending down)?
How are mismatch/timeout conditions prioritized, annunciated, and escalated?
Reset &amp; Restore
What reset permissives (alarms cleared, detectors healthy, gas levels below low alarm) are required before re‑enabling equipment?
How is post‑event recordkeeping handled (cause, steps completed, time to safe state)?</t>
  </si>
  <si>
    <t>Inputs: Passive/maintained 2-position manual pushbutton with N.C. and N.O. contacts
Operations: Device provides human operator physical interface for Station ESD in the event of observed process safety issues. Manual pushbutton holds mechanical position, requires physical interaction to depress or pull - mechanical position corresponds directly or inversely to electrical contacts.
Outputs: Hardwire N.O. and/or N.C. contacts to ESD PLC.</t>
  </si>
  <si>
    <t>The ESD PLC accepts direct, fail‑safe, hardwired inputs from maintained two‑position emergency pushbuttons installed at the station and unit areas. Each device provides normally‑closed (N.C.) and normally‑open (N.O.) contacts whose mechanical position (depressed, pulled, or latched) corresponds directly—or inversely—to the electrical state. When a human operator observes unsafe conditions (gas leak, flame, abnormal process state), actuating any pushbutton initiates a deterministic ESD sequence: zeroing unit demand, isolating fuel, closing suction/discharge ESD valves, and venting/blowdown as defined by the station ESD philosophy. The ESD PLC latches the event, timestamps it, alarms locally and centrally, and enforces manual reset with permissives before restart. Pushbuttons are placed for rapid access and visibility, use maintained (latched) action, and are wired using supervised, de‑energize‑to‑trip conventions suitable for hazardous locations.</t>
  </si>
  <si>
    <t>Device Type &amp; Contacting
What mechanical action is used (mushroom push‑to‑latch, pull‑to‑reset, guarded cover)?
Which contacts are provided and used by the ESD PLC (N.C. trip, N.O. trip, both for redundancy)?
Contact electrical ratings (voltage/current; AC/DC) and safety classification (e.g., SIL suitability)?
Fail‑Safe &amp; Supervision
Are circuits designed de‑energize‑to‑trip (N.C. loop supervised for open/short)?
What line‑supervision is used (end‑of‑line resistor, monitored input modules)?
How is cable integrity verified (open/short detection, ground fault monitoring)?
Mounting &amp; Environment
Are devices hazardous‑area rated (Zone/Class/Division), ingress‑protected (IP/NEMA), and suitable for ambient temperature?
Are pushbuttons conspicuously labeled, color‑coded (e.g., red), and unobstructed for emergency access?
Human Factors &amp; Accessibility
Where are pushbuttons located (e.g., building exits, near turbine enclosure doors, control room)?
Are multiple devices provided per zone for redundancy; is spacing compliant with egress and reach guidelines?
Signal Path to ESD PLC
Are these signals transmitted via hardwired I/O or digital communications? If digital, what protocols are used (e.g., Ethernet/IP, Profibus, Modbus RTU)?
If hardwired, which ESD input card type (safety‑rated, line‑supervised DI) is used; what scan rate and SOE timestamp resolution are configured?
Annunciation &amp; Indication
Is local indication present (mechanical latch position, pilot light, beacon/sounder tie‑in)?
How are ESD request and device health (loop fault) annunciated on HMI/SCADA?
Maintenance &amp; Proof Testing
What periodic proof test procedures verify contact operation, wiring integrity, and PLC input response without executing a full plant trip?
How are temporary inhibits or bypass keys controlled (authorization, time‑bound, logged)?</t>
  </si>
  <si>
    <t>Initiation &amp; Latching
Does any single pushbutton initiate Unit or Station ESD (1oo1), or is voting used in specific areas (e.g., control room + field)?
Are ESD requests latched in the PLC until a manual reset with permissives (gas clear, valves proven, detectors healthy)?
Scope Arbitration
How does the PLC decide between Unit ESD vs Station ESD (device zoning and mapping)?
Are graded responses supported (unit shutdown only; station‑level isolation if certain zones are actuated)?
Sequence &amp; Interlocks
What is the ordered sequence on actuation (fuel cutoff → unit isolation → station isolation → vent/blowdown → alarms)?
What interlocks and step confirmations are enforced (valve end‑of‑travel, pressure decay to target)?
Fail‑Safe Behavior
How does the system behave on power loss to device or PLC input (trip by design)?
What happens on wiring fault (open/short) detected by supervised input—alarm, trip, or maintenance action?
Reset &amp; Restart Control
What reset permissives are required (gas levels normal, detectors and ESD valves healthy, lube/seal systems ready)?
Is reset performed by authorized personnel at HMI with key‑switch or two‑hand confirmation to prevent inadvertent restart?
Event Recording &amp; Visibility
Are SOE timestamps captured (ms resolution), including device ID, zone, and operator actions (acknowledge, reset)?
How is post‑event reporting generated (initiating device, action timeline, duration to safe state)?
Operational Governance
Are operating procedures and training/drills aligned to pushbutton usage (when to actuate, evacuation routes, radio callouts)?
How are unauthorized actuations mitigated (guards, signage, CCTV/log reviews)?</t>
  </si>
  <si>
    <t>Protective Actions
What outputs command Unit stop/setpoint zeroing, fuel gas isolation, suction/discharge ESD valves, and vent/blowdown?
Are audible/visual alarms (beacons/sirens) energized concurrently, and are HVAC dampers or firewater/deluge interfaces engaged per philosophy?
Command Pathing &amp; Protocols
Are these output commands transmitted via hardwired I/O or digital communications? If digital, what protocols are used (e.g., Ethernet/IP, Profibus, Modbus RTU)?
Are outputs safety‑rated and de‑energize‑to‑trip (spring‑return actuators, dual solenoids) for final elements?
Feedback &amp; Verification
What return signals confirm execution (valve end‑of‑travel, pressure decay, fuel valve closed proof)?
How are mismatch/timeout conditions prioritized and annunciated (operator guidance, escalation path)?
Post‑Event Reset &amp; Logging
What outputs/flags support reset (alarm clear, latch release) once permissives are met?
What records are stored (initiating device, time to safe state, reset time, maintenance recommendations)?</t>
  </si>
  <si>
    <t>Gas Control (Control Center)</t>
  </si>
  <si>
    <t>Instrument Air (valve actuation) (N/A if gas or electric)</t>
  </si>
  <si>
    <t>Gas Control depends on timely/accurate telemetry and control points to/from field assets (e.g. compressor station). The connectivity and data flow leverages control center, field communications, and station WAN or LAN infrastructures. 
Inputs: Gas Control SCADA platform provides analytics and display capabilities based on telemetry data from field assets. The connectivity and data flow leverages control center and field communications infrastructure to/from the station environments.
Operations: Gas Control operations commonly leverages the STN PLC for telemetry and control dataflow. Control of compression capabilities (i.e. Units) is abstracted to station level throughput (e.g. station flow, station discharge pressure, station suction pressure) and via STN PLC logic and subsequent signaling/comms with individual Unit PLCs. General station telemetry and control information includes a health/status for ancillary systems, station valving position/control, ESD status, etc.
Outputs: Gas Control via SCADA platform and field communications infrastructure to STN GW and on to STN PLC.</t>
  </si>
  <si>
    <t>Pipeline delivery operations coordinate Control Center Gas Control directives with Station (STN) PLC execution to meet target throughput/pressure while respecting equipment and safety constraints. Gas Control’s SCADA platform aggregates field telemetry and analytics, then publishes station‑level setpoints—e.g., station discharge pressure, station suction pressure, station flow—and operational requests (e.g., unit start/stop, station mode). The STN PLC receives these targets and orchestrates compression performance across multiple Unit PLCs, applies station sequencing (valving, startup/shutdown interlocks, station limits), and reports station status back through the STN gateway (STN GW) to Gas Control. The design emphasizes deterministic control at the station layer, health monitoring for ancillary systems (instrument air, seal/lube systems, power quality), clear ESD status integration, and fail‑safe behavior on communication loss.</t>
  </si>
  <si>
    <t>SCADA → Station Targets &amp; Requests
What station setpoints are received (e.g., discharge pressure, suction pressure, station flow, temperature constraints)?
What operational requests arrive (unit start/stop, station mode: pressure‑hold vs flow‑target, lineup changes)?
Telemetry Scope &amp; Quality
Which telemetry points feed Gas Control analytics and STN PLC logic (multi‑unit performance, suction/discharge pressure, flow meters, temperatures, vibration status, ESD state, station valve positions)?
What update rates, time stamping, and data quality flags (valid/uncertain/bad) are used?
Communications Path &amp; Protocols
What is the end‑to‑end path from control center → field (SCADA host → wide‑area comms → STN GW → STN PLC)?
Are these signals transmitted via hardwired I/O or digital communications? If digital, what protocols are used (e.g., DNP3, IEC‑104, Modbus RTU/TCP, OPC UA, MQTT, Ethernet/IP, Profibus)?
Are redundant links, dual NICs, or cellular/satellite backup present?
Station/Unit Interfaces
How does the STN PLC interface with Unit PLCs (hardwired permissives, high‑speed Ethernet/IP, Modbus TCP, serial links)?
What identifiers and mapping are used to route setpoints to the correct Unit(s)?
Permissives &amp; Interlocks (Inputs)
Which run permissives and interlocks must be true to accept setpoints or start units (instrument air available, lube/seal systems healthy, suction/discharge valves lineup, ESD clear, power quality OK)?
How are ESD signals presented to the STN PLC (hardwired vs digital status)?
Measurement Integrity
What metering devices (orifice, ultrasonic, Coriolis) provide flow; how is compensation (temperature/pressure, gas composition) handled?
Are sensor validation, range checks, or multi‑sensor voting used?
Time Base &amp; SOE
How is time synchronization managed (GPS, PTP/NTP) to align SCADA events with STN/Unit PLC SOEs?</t>
  </si>
  <si>
    <t>Mode &amp; Setpoint Handling
What control modes are supported (pressure control, flow control, mixed/priority mode)?
How are setpoint ramps, rate limits, and bumpless transfers applied when targets change?
Unit Dispatch &amp; Load Sharing
What logic determines which Unit(s) start/stop and how load is distributed (priority list, equal‑load, efficiency curves, constraints from anti‑surge margins)?
How does the STN PLC prevent rapid cycling and enforce minimum run/stop times?
Constraints &amp; Limiters
What station‑level limiters (max/min pressures, temperature caps, valve position limits) cap Unit outputs?
How are ESD/Trip states handled—does a Unit trip trigger re‑dispatch to meet station target or a controlled runback?
Setpoint Arbitration &amp; Validity
How are conflicting operator vs Gas Control setpoints resolved (priority rules, local override)?
What happens if data quality is bad—does the STN PLC hold last good value, enter safe mode, or notify Gas Control?
Lineup &amp; Valving Sequencing
How does the STN PLC sequence suction/discharge and bypass/vent valves when changing station mode or starting/stopping Units?
What proof‑of‑position checks precede compressor engagement?
Ancillary Systems Coordination
How are instrument air, seal gas, lube oil, coolers, and filters managed to support Unit starts and sustained operation?
Are pre‑start checks and cooldown/turning gear criteria enforced at station level?
Loss‑of‑Comms &amp; Degraded Modes
What is the fallback behavior on SCADA comms loss (hold last target, revert to local auto, controlled runback)?
How is data reconciliation performed when comms restore (audit trail, change logs)?
Event Recording &amp; KPIs
What SOE and performance KPIs (pressure tracking error, flow compliance, Unit run hours, starts/stops, surge avoidance events) are logged and sent upstream?</t>
  </si>
  <si>
    <t>Commands to Unit PLCs
What outputs start/stop Units, set Unit demand/speed/pressure targets, and mode flags?
Are these signals transmitted via hardwired I/O or digital communications? If digital, what protocols are used (e.g., Ethernet/IP, Modbus TCP/RTU, Profibus, OPC UA)?
Are acknowledge/handshake sequences required (command → accept → execute → proven)?
Station Valving &amp; Equipment Control
What outputs position suction/discharge valves, bypass/recycle, vent/blowdown, coolers/fans, and support systems?
How are rate limits, interlocks, and fail‑safe positions applied?
Telemetry &amp; Status Upstream
What telemetry frames does the STN PLC publish back to SCADA (pressures/flows, Unit states, alarms, SOE, ESD state, ancillary health)?
Through which gateway/protocol are these reported (STN GW, DNP3, IEC‑104, Modbus TCP, OPC UA), and at what scan/refresh rates?
Alarm/Annunciation &amp; Audit
What alarms (setpoint rejected, limit active, device fault) and audit records (who changed setpoint, when) are generated and delivered to Gas Control?
ESD/Trip Notifications
How are ESD active, Unit trip, station shutdown notifications routed upstream and to local HMIs?
Are post‑event summaries (initiating cause, sequence timing) automatically packaged for review?</t>
  </si>
  <si>
    <t>Depends on support for device (VFDs, relay overloads/overcurrent) configurations.
Inputs: If digitally enabled, allows network and local configuration of motor overloads, overcurrent trip settings, VFD parameters, etc.
Operations: STN MCC provides dedicated starters, VFDs, and power distribution to station larger motor loads - cooling fans, Unit starting motors, pumps, etc.
Outputs: Typically provides critical motor load status/alarming to STN PLC via hardwired I/O unless digitally enabled, then digital comms.</t>
  </si>
  <si>
    <t>The Station MCC provides the power distribution, motor starting, and speed control infrastructure for station auxiliary and large balance‑of‑plant loads—e.g., cooling fans, unit‑starting motors, seal/lube oil pumps, instrument air compressors, and building HVAC/ventilation. It typically consists of feeder breakers, across‑the‑line/soft starters, VFDs, protective relays/overloads, and metering/monitoring packaged in arc‑rated sections.
The MCC interfaces with the STN PLC to: (1) start/stop and speed/torque control (when VFDs are present), (2) apply interlocks and permissives required for unit and station sequencing, and (3) publish status, alarms, and trip diagnostics. Depending on configuration, MCC–PLC integration is via hardwired I/O or digital communications (drive/relay networks). The design emphasizes fail‑safe behavior, deterministic control of critical loads, and clear visibility of device health to support station operations, ESD sequences, and maintenance.</t>
  </si>
  <si>
    <t>Device Inventory &amp; Ratings
Which MCC sections and devices are present (feeder breakers, starters, soft starters, VFDs, protective relays, power meters), and what are their motor kW/HP/voltage ratings?
Configuration &amp; Parameterization (Digitally Enabled)
Which parameters are configurable over the network: overload setpoints, overcurrent/trip curves, VFD speed/torque limits, accel/decel ramps, skip‑frequencies, PID setpoints?
Who can modify them (role‑based access), and where (local HMI, engineering workstation, STN PLC)?
Status/Diagnostics to STN PLC
What status points are provided: breaker/starter/vfd run, ready, trip, fault code, thermal capacity (% overload), heatsink temp, current/voltage/power?
What event data (last trip cause, time stamp) and device health (internal fault, comm loss) are available?
Signal Path &amp; Protocols
Are these signals transmitted via hardwired I/O or digital communications? If digital, what protocols are used (e.g., Ethernet/IP, Modbus TCP/RTU, PROFINET, PROFIBUS‑DP, DeviceNet)?
What is the network topology (ring/star), redundancy, and scan/update rates for critical loads?
Interlocks &amp; Permissives (Inputs to STN PLC)
Which run permissives are sourced from MCC devices (motor starter “ready,” VFD “healthy,” cooling fan “available,” pump seal/lube “available”)?
Are ESD/Trip indications from protection relays hardwired to the STN PLC for deterministic shutdowns?
Power Quality &amp; Metering
What metering (kW/kVAR, harmonics, voltage imbalance) is available, and how is it consumed by STN PLC or SCADA for load management?
Arc‑Flash &amp; Safety Interfaces
Are maintenance/remote racking modes or safe/lockout indications exposed to PLC/HMI to prevent remote starts during work?</t>
  </si>
  <si>
    <t>Critical‑Load Control Strategy
Which loads are critical to unit starts and station stability (e.g., lube oil, seal gas, cooling fans), and how are their start sequences enforced?
Start/Stop &amp; Speed Control (VFDs)
How does STN PLC handle start commands, speed references, and run feedbacks (acknowledge/handshake)?
What ramp rates, min/max speeds, and accel/decel time are applied per device; how are skip frequencies used to avoid resonance?
Interlocks, Permissives &amp; ESD Behavior
What interlocks must be true to start a load (suction/discharge valves lined up, instrument air available, ESD clear)?
During ESD or unit trip, what MCC actions occur (coordinated stop, hold auxiliary pumps as needed for coast‑down/turning gear, controlled shedding of non‑critical fans)?
Load Shedding &amp; Prioritization
How does the STN PLC shed/re‑add non‑critical MCC loads during brownouts or generation limits?
What priority tables define which loads must remain energized to protect equipment?
Fault Handling &amp; Recovery
What is the STN PLC logic on starter/VFD trip (automatic retry count/interval, lockout after N attempts, operator intervention required)?
How are trip causes surfaced (overcurrent, overload, ground fault, overtemp, comm fault) for rapid troubleshooting?
Maintenance &amp; Bypass Modes
How are maintenance inhibits or local‑only control managed (time‑bounded, logged, annunciated)?
Can the PLC command test runs at safe speed for diagnostics?
Performance Monitoring
Which KPIs are tracked (start success rate, trip rate, energy use, bearing/cooling effectiveness) and how are anomalies flagged?</t>
  </si>
  <si>
    <t>Commands from STN PLC to MCC
What outputs start/stop motors, enable/disable starters/VFDs, and set speed or torque references?
Are these output commands transmitted via hardwired I/O or digital communications? If digital, what protocols are used (e.g., Ethernet/IP, Modbus TCP/RTU, PROFINET, PROFIBUS‑DP)?
Control of Protective Functions
Can the PLC adjust overload/overcurrent settings (digitally enabled) or reset trips under controlled conditions?
How are remote resets safeguarded (cooling period, operator prompt, permissive checks)?
Feedback &amp; Verification
What return signals confirm execution (starter closed, VFD “run,” speed achieved, current within limit)?
How are mismatch/timeouts alarmed and escalated?
Alarm/Annunciation Upstream
Which alarms/events are forwarded to station HMI/SCADA (trip cause, thermal overload, comm fault, arc‑flash maintenance active)?
What SOE timestamps and audit logs (setpoint changes, resets) accompany MCC events?
Energy &amp; PQ Reporting
How is energy usage and power quality data published (to STN PLC or directly to SCADA) for optimization and maintenance planning?</t>
  </si>
  <si>
    <t>Depends on support for device trip/switch setting configurations.
Inputs:  If digitally enabled, allows network and local configuration of switching voltage/current thresholds, mgmt parameters, etc.
Operations: STN ATS provides automated power distribution source switching capability - primary (e.g. utility) vs backup (gen set).
Outputs: Typically provides switch/source status/alarming to STN PLC via hardwired I/O unless digitally enabled, then digitial comms.</t>
  </si>
  <si>
    <t>The Station ATS provides automatic source selection and transfer between the primary power (e.g., utility) and a backup source (e.g., generator set). It continuously monitors source voltage, frequency, and phase quality, applies configured transfer/retransfer delays, starts the generator on loss of primary, and switches the station load when backup power is within acceptance limits.
The ATS interfaces with the STN PLC (and STN gateway, if present) to: publish switch position, source availability/quality, and alarm/trip conditions; accept enable/inhibit commands and setpoint/config updates (if digitally enabled); and
coordinate load sequencing (e.g., MCC load starts, noncritical shedding) during transfers. Priority is given to fail‑safe operation, mechanical/electrical interlocks preventing source cross‑connection, and deterministic signaling for station safety sequences (e.g., ESD behavior on blackouts).</t>
  </si>
  <si>
    <t>Source Monitoring &amp; Quality
Which phases and neutral are monitored per source; what voltage/frequency acceptance bands and undervoltage/overvoltage thresholds are configured?
Are phase‑loss, phase‑reversal, voltage imbalance, or harmonic conditions detected and reported?
Transfer Logic Parameters (Digitally Enabled)
Which parameters are configurable: transfer delay, retransfer delay, generator start delay, engine‑warmup, cool‑down, in‑phase transfer enable, preferred source selection?
Where can they be changed (local HMI/keypad, engineering workstation, STN PLC), and what role‑based access applies?
Operating Modes
What transfer mode is used for the load: open transition (break‑before‑make), closed transition (make‑before‑break), or delayed transition?
Are test modes (automatic/maintenance/manual) available and signaled to the PLC?
Generator Start/Ready Signals
How does the ATS issue generator start and receive generator ready/at‑voltage/at‑frequency feedback (hardwired vs digital)?
Are fuel level, oil pressure, coolant temp, or genset alarms mapped to ATS status or provided separately to the STN PLC?
Interlocks &amp; Safety
What mechanical/electrical interlocks prevent source tie; how is source breaker position verified?
Are manual bypass/isolation switches present; how does the ATS report bypass to the PLC?
Communications Path &amp; Protocols
Are these signals transmitted via hardwired I/O or digital communications? If digital, what protocols are used (e.g., Modbus RTU/TCP, Ethernet/IP, PROFINET, DNP3)?
What network topology, update rates, and redundancy are used for ATS data?
Event/Alarm Reporting
Which alarms are available: transfer fail, retransfer fail, source not acceptable, controller fault, contact wear, overtemp, mechanism failure?
Are time‑stamped events stored in the ATS and retrievable by the PLC?
Time Base &amp; SOE
How are SOE timestamps aligned across ATS and STN PLC (NTP/PTP/GPS or via PLC time sync)?</t>
  </si>
  <si>
    <t>Transfer/Retansfer Criteria
What acceptance criteria (voltage/frequency bands, stability windows) and minimum/maximum delays must be met before transfer/retransfer?
Is preferred source enforced after utility restoration; how are brownout or flicker conditions handled?
Load Coordination
How does the STN PLC sequence MCC loads post‑transfer (critical auxiliaries first: lube/seal pumps, instrument air, then fans)?
Are load sheds applied during generator operation (noncritical HVAC/fans) to stay within genset rating?
Mode Controls &amp; Inhibits
Can the STN PLC enable/inhibit automatic transfer, force transfer to backup, or hold on preferred source (e.g., during maintenance)?
What conditions block transfer (bypass engaged, interlock open, genset not ready, ATS fault)?
ESD &amp; Blackout Behavior
How do ESD sequences interact with ATS states; does power loss trigger controlled runback/stop vs trip for unit subsystems?
Are UPS and DC systems integrated to bridge ATS switching delays for PLCs and critical controls?
Fault Handling &amp; Recovery
What is the response to transfer fail or controller fault (alarm escalation, manual override, dispatch procedures)?
How are retries handled (N attempts, back‑off timing) and when is operator intervention required?
Testing &amp; Readiness
How are automatic or scheduled generator tests coordinated (no‑load transfer test vs full transfer), and how is station operation protected during tests?
Are pre‑test and post‑test checklists enforced (alarms clear, fuel OK, cooling OK, bypass not engaged)?
Performance Monitoring
Which KPIs are tracked (transfer time, retransfer time, number of transfers, generator runtime hours, fail‑to‑start events), and how are trends used for maintenance planning?</t>
  </si>
  <si>
    <t>Commands from STN PLC to ATS
What outputs enable/inhibit automatic transfer, initiate manual transfer, select preferred source, start/stop generator (if routed via ATS)?
Are these output commands transmitted via hardwired I/O or digital communications? If digital, what protocols are used (e.g., Modbus TCP/RTU, Ethernet/IP, PROFINET, DNP3)?
Status &amp; Alarms to STN PLC
What status points are returned: source availability/quality, switch position (utility/gen), in‑transition, bypass/isolation, controller healthy, alarm summary?
Are detailed fault codes and event logs retrievable via digital comms (if enabled), or only hardwired discrete alarms?
Synchronization &amp; Timing
How are transfer timestamps provided for SOE; is there a time‑sync mechanism between ATS and PLC?
Safety &amp; Interlocks Confirmation
What return signals confirm interlocks (mechanical/electrical) are intact before enabling transfer commands from PLC?
How are mismatch or timeout conditions (command issued but not executed) alarmed and escalated?
Upstream Telemetry
Which ATS data are forwarded to station HMI/SCADA (via STN PLC or directly): source trends, transfer counts, testing schedule, maintenance advisories?</t>
  </si>
  <si>
    <t>Depends on support for engine controller configuration and generator protective relay settings as well as overall eng/gen maintenance - typically vendor contracted activities.
Inputs: If digitally enabled, allows network and local configuration of generator operating parameters, etc.
Operations: STN Generator provides backup AC power to station.
Outputs: Typically provides generator operating status/alarming to STN PLC via hardwired I/O unless digitally enabled, then digitial comms.</t>
  </si>
  <si>
    <t>The Station Backup Generator(s) provide standby AC power to the station when the primary source (e.g., utility) is unavailable or unsuitable. Each generator set includes the prime mover (engine), alternator, and a generator controller handling start/stop, AVR (voltage regulation), governor/frequency control, protection, synchronization, and alarm/event logging.
The generator(s) work in concert with the Station ATS (Automatic Transfer Switch) and STN PLC to: start and warm‑up on loss of utility;
confirm “at‑voltage/at‑frequency” readiness for load transfer; support critical station loads (MCC auxiliaries like lube oil/seal pumps, instrument air, cooling fans) during outages; and
cool‑down and stop after retransfer to the preferred source. Depending on configuration, the generator controller can be digitally enabled (allowing network access to parameters, trends, alarms) or hardwired only (dry‑contact/status signals to the STN PLC). The design emphasizes fail‑safe behavior, deterministic signaling, proper load sequencing, and clear diagnostics for rapid recovery.</t>
  </si>
  <si>
    <t>Controller Parameters &amp; Access
Which operating parameters are configurable: voltage setpoint/AVR limits, frequency/governor setpoint, ramp rates, droop/isochronous mode, protective thresholds (oil pressure, coolant temp, over/under voltage/frequency, overcurrent), start/stop delays, warm‑up/cool‑down times?
Where can parameters be changed (local controller HMI, engineering workstation, STN PLC)?
Readiness &amp; Protection Inputs
What readiness signals are provided: generator running, at‑voltage, at‑frequency, breaker open/closed, sync available (if paralleling)?
What protection/alarms are mapped: low oil pressure, high coolant temp, overspeed, under/over voltage/frequency, E‑stop, fuel low, battery low, charger fail, controller fault?
Power Quality &amp; Metering
Which metering values are available: kW, kVAR, PF, phase voltages, currents, frequency, THD/harmonics (if supported)?
Are there trend buffers or event logs retrievable by the PLC?
Communications Path &amp; Protocols
Are these signals transmitted via hardwired I/O or digital communications? If digital, what protocols are used (e.g., Modbus RTU/TCP, Ethernet/IP, PROFINET, CAN J1939, DNP3)?
What network topology, update rate, and redundancy apply for generator data?
ATS/Genset Interface
How does the generator interact with the ATS (hardwired start command, “ready” feedback, permissives for breaker close)?
Are sync/in‑phase transfer signals used (closed‑transition applications)?
Fuel &amp; Support Systems
Do fuel level, day‑tank pumps, radiator fans, jacket water heaters, and battery chargers provide discrete/analog status inputs to the PLC?
Time Base &amp; SOE
Are time‑stamped events available from the generator controller; how is clock sync (NTP/PTP/GPS or STN PLC) handled?</t>
  </si>
  <si>
    <t>Start/Warm‑up/Transfer Readiness
What start criteria (utility fail, ATS command) initiate generator start?
What warm‑up duration and acceptance windows for voltage/frequency/stability must be met before ATS transfer?
Load Coordination &amp; Prioritization
Which critical loads must be sequenced on first (e.g., lube oil, seal gas, instrument air), and which non‑critical loads are shed during generator operation to remain within kW/kVA limits?
What ramp profiles or soft‑start behaviors (MCC/VFD coordination) are enforced?
Operating Modes
Is the generator in isochronous mode (single unit) or droop (if multiple generators/paralleling)?
Are exercise tests (no‑load or load) scheduled; how does the PLC prevent unintended process impact during tests?
Fault Handling &amp; Recovery
What is the response to fail‑to‑start or run trip (retry count/intervals, lockout, operator intervention)?
How are transfer fail/retransfer fail scenarios handled (hold last safe state, manual override procedures)?
ESD &amp; Blackout Integration
How do ESD sequences treat generator operation—maintain power for essential systems while shedding process loads, or full shutdown depending on philosophy?
Are UPS/DC systems coordinated to bridge transient drops during start/transfer?
Retransfer/Cool‑down
What retransfer criteria (utility restored, stable for N seconds) apply?
How long is cool‑down before stop; are post‑run checks logged?
Performance Monitoring
Which KPIs are tracked (start success rate, runtime hours, load factor, fuel consumption, trips per period) and how are trends used for preventive maintenance?</t>
  </si>
  <si>
    <t>Commands from STN PLC
What outputs start/stop the generator, enable/inhibit auto operation, adjust voltage/frequency targets (if permitted), open/close generator breaker (via permissives/ATS)?
Are these output commands transmitted via hardwired I/O or digital communications? If digital, what protocols are used (e.g., Modbus TCP/RTU, Ethernet/IP, PROFINET, CAN J1939, DNP3)?
Status/Alarms to STN PLC
What status points (running, ready, at‑voltage/at‑frequency, breaker state) and detailed alarms (with codes) are returned?
Are event logs and trend data retrievable via the network (digitally enabled) or only summary discrete signals via hardwired I/O?
Load &amp; PQ Telemetry
What metering values (kW, kVAR, PF, V, I, Hz) are forwarded upstream to HMI/SCADA for energy accounting and load management?
Safety &amp; Interlocks Confirmation
What return signals confirm permissives (E‑stop not active, protective devices healthy) before allowing breaker close or start commands?
How are mismatch/timeout (command issued, feedback not received) conditions alarmed and escalated?
Testing &amp; Maintenance Flags
What outputs/flags indicate test mode active, maintenance inhibit, or remote configuration session so operations can adjust sequencing appropriately?</t>
  </si>
  <si>
    <t>Depends on support for controller configuration.
Inputs: If digitally enabled, allows network and local configuration of DC Controller operating parameters - voltage, load current, etc. DC distribution O.C. an d O.L. may be integral to a DC Controller package.
Operations: DC Power Controller provides automated power conversion from AC source to DC for station distribution - electronics loads including automation at a nominal voltage, commonly 24Vdc. DC Controller also provides AC/DC ATS capabilities to allow sourcing from the DC battery system.
Outputs: Typically provides system health/status as well as alarming to STN PLC via hardwired I/O unless digitally enabled, then digital comms.</t>
  </si>
  <si>
    <t>The DC Power System Rectifier/Controller converts AC utility or generator power to a regulated station DC bus (commonly 24 Vdc) for controls, instrumentation, protection relays, PLCs, communication equipment, and other electronics. Typical packages include: Rectifier/charger modules (single or N+1) with voltage/current regulation and temperature compensation. Battery system interface (lead‑acid or Ni‑Cd), providing float/boost/equalize charging and automatic DC source selection (AC→DC rectifier vs battery when AC is lost). Distribution/Protection: DC feeders, fuses/breakers, and overcurrent (O.C.) / overload (O.L.) protection integrated in the controller or separate panels.
ATS functions at DC: seamless transfer between rectifier‑fed bus and battery backed bus; coordinated alarms and event logs. The DC controller reports system health, alarms, and load metrics to the STN PLC via hardwired signals or digital communications (when network‑enabled), enabling deterministic station sequences (e.g., controlled shutdown, ESD coordination) and maintenance planning.</t>
  </si>
  <si>
    <t>Controller Configuration &amp; Access
Which parameters are configurable: output voltage setpoint, current limit, float/boost/equalize profiles, battery temperature compensation, alarm thresholds (low/high voltage, charger fail, earth/ground fault)?
Where can parameters be changed (local HMI, engineering workstation, STN PLC interface) and under what role‑based access?
Source &amp; Bus Monitoring
What inputs indicate AC source presence/quality (phase OK, undervoltage, frequency) and rectifier status (module healthy, current share)?
What DC bus measurements are acquired (V, I, ripple, load distribution, ground/earth fault detection, ambient/battery temperature)?
Battery Status &amp; Protection
Which signals reflect battery health (string voltage, internal resistance, temperature), capacity/runtime estimates, string/branch failures, and intercell connection alarms?
Are O.C./O.L. trips, fuse blown, or breaker open indications provided per DC feeder?
Event/Alarm Reporting
What alarms exist (charger fail, low DC, high DC, module failure, ground fault, battery low, equalize active), and are they latched with timestamp?
Communications Path &amp; Protocols
Are these signals transmitted via hardwired I/O or digital communications? If digital, what protocols are used (e.g., Modbus RTU/TCP, Ethernet/IP, PROFINET, DNP3)?
What network topology, update rates, and redundancy are used for DC controller data?
ATS (AC/DC) Interface
How does the controller indicate automatic transfer to battery and back to rectifier (transfer/retransfer signals, acceptance windows)?
Are manual bypass/isolation states reported to the STN PLC?
Time Base &amp; SOE
Does the controller support time‑stamped events/logs, and how is clock synchronization handled (NTP/PTP via network or PLC sync)?</t>
  </si>
  <si>
    <t>Normal Operation &amp; Setpoint Control
What voltage/current regulation strategy is used; how are float and boost/equalize schedules managed to balance battery health and availability?
Are load profile limits set to protect rectifier modules and DC feeders?
Automatic Transfer &amp; Ride‑Through
What acceptance criteria (voltage ripple, stability time) must be met to transfer from rectifier to battery and retransfer back?
How are ride‑through requirements (PLC/control power stability during AC disturbances) validated?
ESD/Blackout Behavior
How does the DC system support ESD sequences (guaranteeing power to critical logic, annunciation, trip relays) while shedding non‑essential DC loads if necessary?
Are UPS devices present and coordinated for sub‑second transitions?
Fault Handling &amp; Recovery
What actions occur on rectifier module failure or charger fail (N+1 behavior, derate alarms, maintenance prompts)?
How are ground‑fault detections treated (alarm only vs trip), and what is the isolation/locating procedure?
Maintenance &amp; Equalize Management
How are equalize windows scheduled (off‑peak), and what inhibits are enforced to avoid overvoltage to sensitive loads?
Are maintenance bypass or test modes controlled and logged (time‑bounded, annunciated)?
Performance Monitoring &amp; KPIs
Which KPIs are tracked (bus voltage stability, ripple, module runtime, number of transfers, battery temperature/IR trend, ground‑fault occurrences) and how are trends used for predictive maintenance?</t>
  </si>
  <si>
    <t>Commands from STN PLC
What outputs adjust setpoints (voltage/current, enable/disable equalize), start/stop equalize, enable/inhibit automatic transfer, or acknowledge/reset alarms?
Are these output commands transmitted via hardwired I/O or digital communications? If digital, what protocols are used (e.g., Modbus TCP/RTU, Ethernet/IP, PROFINET, DNP3)?
Status/Alarms to STN PLC
What status points (rectifier module healthy, bus OK, battery on‑line/off‑line, transfer in‑progress, bypass engaged) and detailed alarms (with codes) are returned?
Are event logs and trend buffers retrievable via network (digitally enabled) or only summary discrete signals via hardwired I/O?
DC Distribution Feedback
What feeder‑level feedback is provided (breaker status, fuse status, feeder current/voltage) to enable load shedding or fault localization at the PLC?
Safety &amp; Interlock Confirmation
What return signals confirm permissives (battery temperature within range, charger available, ground‑fault level acceptable) before enabling equalize or transfer commands?
How are mismatch/timeout conditions (command issued, no state change) alarmed and escalated?
Upstream Telemetry &amp; Visualization
Which DC controller data (bus trends, module health, battery metrics, alarms) are forwarded to station HMI/SCADA for situational awareness and audit?</t>
  </si>
  <si>
    <t>Depends on support for controller configuration. 
Inputs: If digitally enabled, allows network and local configuration of battery management operating parameters - voltage, load current, charging current, batt bank temperature, etc.
Operations: Battery management controller provides monitoring of battery bank "health" and availability.
Outputs: Typically provides battery bank status/alarming to STN PLC via hardwired I/O unless digitally enabled, then digitial comms.</t>
  </si>
  <si>
    <t>The Battery Management Controller (BMC) supervises the station DC battery bank(s) that back up control power (e.g., 24 Vdc) for PLCs, protection relays, communications, ESD circuits, and other electronics. It continuously measures cell/jar voltage, string voltage/current, temperature, and (where supported) internal resistance/impedance, and evaluates State‑of‑Health (SOH) and availability. The BMC coordinates with the DC rectifier/charger to align float/boost/equalize behavior, provides thermal compensation and run‑time/capacity trending, and announces alarms/events. Interface to the STN PLC is typically by hardwired status/alarms; if digitally enabled, the BMC also exposes network telemetry and configuration (e.g., Modbus, Ethernet/IP).</t>
  </si>
  <si>
    <t>Configuration &amp; Access
Which parameters can be configured: float/boost/equalize setpoints, charge‑current limit, low/high voltage thresholds, temperature compensation coefficients, ground‑fault/imbalance limits?
Where are changes made (local HMI, engineering workstation, STN PLC) and what roles/authorization govern access?
Measurements &amp; Health Indicators
What measurements are available: cell/jar voltages, string voltage/current, cell/jar temperature, ambient temperature, internal resistance/impedance, ripple?
How does the BMC calculate/report SOH, SOC (where supported), and estimated runtime under typical station load?
Battery Chemistry &amp; Bank Topology
Which battery types are supported (VRLA, flooded lead‑acid, Ni‑Cd); how are string count and cell/jar count represented?
Are parallel strings monitored individually or aggregated; can the BMC identify weak cells/strings?
Protection &amp; Events
What alarms exist (e.g., low DC, high DC, cell voltage deviation, thermal runaway risk, ground fault, open circuit, charger fail)?
Are events time‑stamped and latched; what buffers/log depth is available?
Communications Path &amp; Protocols
Are these signals transmitted via hardwired I/O or digital communications? If digital, what protocols are used (e.g., Modbus RTU/TCP, Ethernet/IP, PROFINET, DNP3, SNMP)?
What network topology, update rates, and redundancy are used?
Integration with DC Power System
How does the BMC interact with the rectifier/charger (float/equalize enable, charge‑current requests, temperature compensation)?
Are DC feeder O.C./O.L. indications tied into the BMC or provided separately to the STN PLC?
Time Base &amp; SOE
Does the BMC synchronize time (NTP/PTP or via PLC) for accurate SOE and trend correlation?</t>
  </si>
  <si>
    <t>Normal Operation &amp; Conditioning
How are float and boost/equalize schedules managed to preserve battery life while ensuring availability?
What temperature compensation policy is applied, and how is it bounded to avoid overvoltage to sensitive loads?
Health Assessment &amp; Trending
What SOH thresholds define available, degraded, or replace‑soon states?
Which KPIs are trended (e.g., cell IR, voltage spread, string current, temperature profile, discharge events) and over what horizons?
Fault Detection &amp; Response
What is the PLC/BMC response to cell/jar deviation, ground fault, thermal excursion, low electrolyte (if instrumented), open‑circuit, or charger fail?
Are derates, load shedding, or maintenance‑required states automatically asserted?
Coordination with DC ATS / Rectifier
During AC loss, how does the BMC confirm battery source transfer and run‑time estimate for critical loads?
What retransfer criteria and stabilization windows apply when AC is restored?
Testing &amp; Maintenance
Are online impedance scans, periodic discharge/capacity tests, or exercise events scheduled?
How are maintenance bypass or test modes annunciated, time‑bounded, and logged?
ESD/Blackout Behavior
What minimum battery availability is required to support ESD sequences and control power ride‑through; how are non‑essential DC loads handled?</t>
  </si>
  <si>
    <t>Commands from STN PLC
What outputs can enable/inhibit equalize, adjust charge‑current limit, acknowledge/reset alarms, initiate diagnostics (impedance scan, discharge test), or enable maintenance bypass?
Are these output commands transmitted via hardwired I/O or digital communications? If digital, what protocols are used (e.g., Modbus TCP/RTU, Ethernet/IP, PROFINET, DNP3, SNMP)?
Status/Alarms to STN PLC
Which status points are returned (battery available/degraded/fail, float/equalize active, string current/voltage, thermal state, ground‑fault level, charger coordination state)?
Are detailed codes and SOE logs retrievable over the network (digitally enabled) or only summary discrete alarms via hardwired I/O?
Predictive &amp; Reporting Data
What runtime estimates, SOH/SOC values, cell IR/voltage spreads, and temperature maps are forwarded for analytics and maintenance planning?
Safety &amp; Interlock Confirmation
What return signals confirm permissives (e.g., temperature within range, no active ground fault above threshold) before allowing equalize or discharge tests?
How are mismatch/timeout conditions (command issued, no state change) alarmed and escalated?
Upstream Telemetry
Which BMC data (trends, alarms, KPIs) are sent to station HMI/SCADA; how are reports generated for compliance and audits?</t>
  </si>
  <si>
    <t>Depends on support for compressor package controller configuration settings as well as overall system maintenance  - typically vendor contracted activities.
Inputs: If digitally enabled, allows network and local configuration of instrument air package compressor, dryer, regulator, and/or  volume tank operating parameters, etc.
Operations: Instrument Air package provides clean, dry compressed air in support of critical station functions - valve actuation, other.
Outputs: Typically provides air package operating status/alarming to STN PLC via hardwired I/O unless digitally enabled, then digital comms.</t>
  </si>
  <si>
    <t>The Instrument Air Package Controller governs the production and readiness of clean, dry compressed air required for critical station functions—primarily valve actuation, but also utility pneumatics, panel purge, and general instrumentation support. Typical package elements include one or more air compressors (often rotary screw), air dryers (refrigerated or desiccant), filtration trains (coalescing/particulate), receiver/volume tank(s), automatic drains, and pressure‑control hardware (regulators/control valves).
The controller maintains header pressure, dew point, and air quality, executes lead/lag and auto‑alternation between compressors, manages dryer regeneration cycles, and coordinates start/stop sequences with station operating modes. It interfaces with the STN PLC to publish health/status/alarms and, where configured, accepts supervisory commands and setpoints. Deterministic behavior and fail‑safe fallbacks (e.g., prioritizing the most reliable compressor, isolating a failed dryer) protect station operations during transients and ESD events.</t>
  </si>
  <si>
    <t>Configuration &amp; Access (Digitally Enabled)
Which parameters are configurable: header pressure setpoint, compressor load/unload thresholds, lead/lag assignment, auto‑alternation interval, dryer type/mode (refrigerated vs desiccant, heated purge vs heatless), regeneration timing, dew point alarm limits, filter DP alarm limits, receiver tank high/low pressure, auto‑drain scheduling?
Where are changes made (local HMI, engineering workstation, STN PLC), and what roles/authorization apply?
Process Measurements
What measurements are available: header pressure, receiver pressure, dew point at dryer outlet, filter differential pressures, air temperature, compressor discharge pressure, compressor motor current, dryer tower pressures/temperatures (if desiccant), flow (if metered)?
Equipment Health &amp; Status
What status inputs exist: compressor run/ready/fault, motor starter/VFD healthy, dryer ready/regenerating/fault, automatic drain valve status, filter element condition (DP), pressure regulator/valve position feedback (if actuated)?
Are maintenance bypass and isolation valve positions reported?
Communications Path &amp; Protocols
Are these signals transmitted via hardwired I/O or digital communications? If digital, what protocols are used (e.g., Ethernet/IP, PROFIBUS‑DP, PROFINET, Modbus RTU/TCP)?
What network topology, update rates, and redundancy are used for air‑package data?
Electrical/Power &amp; Interlocks
What inputs reflect MCC starter/VFD availability, supply power quality, and local E‑stop?
Which permissives/interlocks must be true to start (receiver not over‑pressure, discharge isolation open, adequate cooling/ventilation)?
Event/Alarm Reporting
Which alarms are latched/time‑stamped (e.g., low header pressure, high dew point, compressor overtemp, dryer failure, filter DP high, drain fault, oil carryover, unexpected pressure decay)?
Time Base &amp; SOE
How are timestamps synchronized (NTP/PTP/GPS or PLC sync) for coherent SOE across STN PLC and the air package?</t>
  </si>
  <si>
    <t>Pressure Control &amp; Capacity Management
What control strategy maintains header pressure (load/unload bands, PID control with VFD, soft‑start ramping)?
How is capacity staged across multiple compressors (lead/lag, demand‑based start, minimum run/stop times to avoid short‑cycling)?
Dryer &amp; Air Quality Strategy
How are dryer cycles (refrigerated on/off, desiccant tower switching/regeneration) managed to meet dew point targets?
What logic isolates a failed dryer and routes air through a healthy path; how are filters monitored and swapped (changeover/bypass) to maintain quality?
Sequence Management
What startup sequence brings the system online (drains → dryers → filters → compressor(s) → pressurize receiver → open to header)?
What shutdown or standby logic protects air quality (purge, dryer cool‑down) and preserves readiness?
Station/Emergency Coordination
How does the controller respond to ESD (maintain air to safety actuators, shed non‑essential air loads, prevent uncontrolled depressurization)?
Are valve actuation demand signals (from STN PLC) considered for anticipatory staging (pre‑charge receiver, tighten pressure bands)?
Fault Handling &amp; Degraded Modes
What is the fallback behavior on compressor trip or dryer failure (auto start next unit, raise alarm, reduce non‑critical usage)?
Is there pressure‑based load shedding (e.g., close non‑essential users via solenoids/IO) to protect critical actuation capacity?
Maintenance &amp; Bypass
How are maintenance overrides (dryer tower offline, filter changeout, drain service) managed—time‑bounded, annunciated, logged?
What test routines (leak‑down test, dew‑point verifications) exist and how are they scheduled?
Performance Monitoring
Which KPIs are tracked: header pressure stability, dew point compliance, compressor runtime/starts, specific power (kW/100 scfm), filter DP trends, unplanned outages, drain cycles?</t>
  </si>
  <si>
    <t>Commands from STN PLC (If Supervisory Control Enabled)
What outputs start/stop compressors, set speed/reference (VFD), select lead/lag, enable/inhibit dryer, initiate dryer regeneration, open/close isolation/bypass valves, and trigger automatic drains?
Are these output commands transmitted via hardwired I/O or digital communications? If digital, what protocols are used (e.g., Ethernet/IP, PROFIBUS‑DP, PROFINET, Modbus RTU/TCP)?
Status/Alarms to STN PLC
What status points are returned (compressor run/ready, dryer mode/regeneration step, dew point, header/receiver pressure, filter DP, drain status)?
Are detailed fault codes and SOE/event logs retrievable via digital comms, or only summary discrete alarms via hardwired I/O?
Air‑Quality &amp; Capacity Telemetry
What dew point, pressure, flow (if available), compressor load/speed, and energy usage values are forwarded for station optimization?
Safety &amp; Interlock Confirmation
What return signals confirm permissives (isolation valves open, dryer ready, drain operational) before enabling sequences?
How are mismatch/timeout conditions (command issued but state not achieved) alarmed and escalated?
HMI/SCADA Visualization
Which dashboards/trends (pressure, dew point, compressor runtime, dryer cycles, filter DP) are published for operators, and how are reports generated for maintenance planning?</t>
  </si>
  <si>
    <t>What the system does at a high level, the process it controls/monitors, its intended outcomes, and its dependency relationships (upstream/downstream systems, safety or regulatory ties).
Identify the authoritative controller (e.g., local controller, Unit PLC, Station PLC, ESD PLC) and any external orchestration (e.g., SCADA/EMS, historian, optimization).</t>
  </si>
  <si>
    <t>OTHER/MISC</t>
  </si>
  <si>
    <t>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t>
  </si>
  <si>
    <t>Gas Quality Measurement Location
Is the gas chromatograph located on-site at the compressor station or remotely?
If remote, how is the data synchronized with station operations?
Communication of Gas Quality Data
What protocols or networks are used to transmit gas quality data to the AGA flow calculation device?
Is the communication wired, wireless, or via SCADA?
Are there any redundancy or failover mechanisms in place?
Communication of Flow Values to Station PLC
How are flow values transmitted from the flow calculation device to the Station PLC?
Is the flow calculation device an RTU, PLC, or other?
Are values transmitted via digital comms, hardwired I/O, or another method?</t>
  </si>
  <si>
    <t>Speed Setpoint Communication
Are speed setpoints sent via hardwired I/O or digital communication protocols (e.g., Modbus, Ethernet/IP)?
Is there a feedback mechanism from Unit PLCs to confirm receipt and execution?
Are setpoints logged or archived for audit and diagnostics?
Unit PLC Behavior
How do Unit PLCs respond to speed setpoints—do they perform validation checks or safety interlocks?
Is there any local override capability at the Unit level?</t>
  </si>
  <si>
    <t>Pressure Measurement Source
Are suction or discharge pressure values measured locally at the station or remotely from other pipeline segments?
What types of sensors are used (e.g., analog transmitters, smart sensors)?
Communication Method
Is pressure data transmitted via local I/O (direct wiring to the Station PLC) or remote I/O (networked communication from remote RTUs or PLCs)?
If remote I/O is used, what protocols are involved (e.g., Modbus TCP, OPC UA, DNP3)?
Are there any intermediary devices (e.g., gateways, data concentrators) between the sensors and the Station PLC?
Data Integrity and Redundancy
Are there redundant pressure sensors or communication paths?
How is data validated before being used in control logic?</t>
  </si>
  <si>
    <t>Communication Pathways
Are speed setpoints transmitted via hardwired I/O or digital communications?
If digital, what protocols are used (e.g., Ethernet/IP, Profibus, Modbus RTU)?
Signal Validation
Is there a handshake or acknowledgment mechanism between Station PLC and Unit PLCs?
How are communication failures detected and handled?
Command Execution
Do Unit PLCs have autonomy to reject or modify received setpoints based on local conditions?
Is there a fallback mode if communication with the Station PLC is lost?</t>
  </si>
  <si>
    <t>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t>
  </si>
  <si>
    <t>Valve Position Sensing
What types of sensors are used to detect valve positions (e.g., limit switches, analog positioners)?
Are these sensors connected via local or remote I/O?
What is the resolution and accuracy of valve position feedback?
Operational State Awareness
What digital signals or data sources inform the PLC of the station’s operational state?
Are these inputs derived from SCADA, local HMI, or other PLCs?
How is station demand or mode (e.g., delivery, recycle, ESD) communicated to the PLC?
Valve Actuation Medium Monitoring
Is the availability of actuation medium (e.g., instrument air) monitored digitally?
What sensors or status indicators are used to confirm actuation readiness?
I/O Infrastructure
What is the distribution of local vs remote I/O for valve control and monitoring?
What communication protocols are used (e.g., Modbus, Ethernet/IP, Profibus)?
Is there diagnostic feedback on I/O health or signal integrity?</t>
  </si>
  <si>
    <t>Valve Control Commands
What types of signals are sent to valve actuators (e.g., digital open/close, analog position)?
Are commands issued directly from the PLC or routed through intermediary devices?
Are these signals transmitted via hardwired I/O or digital communications?
If digital, what protocols are used (e.g., Ethernet/IP, Profibus, Modbus RTU)?
Actuator Interface
What is the interface between the PLC and valve actuators (e.g., solenoid drivers, motor controllers)?
Are there status signals returned from actuators confirming execution?
Feedback and Confirmation
How does the PLC receive confirmation of valve movement or position?
Are there alarms or fault codes generated for failed actuation?
Data Reporting
What valve status data is reported to SCADA or HMI?
Is valve activity logged for historical or diagnostic purposes?
Alarm and Notification
What alarms are generated for valve position mismatches or actuation failures?
How are these alarms prioritized and communicated to operators?</t>
  </si>
  <si>
    <t>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upstream between this board and a component: [list the following (protocol (i.e. CAN, ModBus, I2C, etc.) - component)].</t>
  </si>
  <si>
    <t>Temperature Sensing
What types of sensors are used to measure unit discharge header gas temperature?
What types of sensors are used to measure cooling fan assembly discharge temperature?
Are these sensors analog (e.g., 4–20 mA) or digital (e.g., RTD with smart transmitter)?
Signal Transmission
Are these temperature signals transmitted via hardwired I/O or digital communications?
If digital, what protocols are used (e.g., Ethernet/IP, Profibus, Modbus RTU)?
Are there any signal conditioning or conversion devices involved?
I/O Architecture
Are the sensors connected through local I/O or remote I/O modules?
What is the update rate or polling frequency for temperature data?
Is there diagnostic feedback on sensor health or signal integrity?
Environmental and System Dependencies
Is the availability of cooling medium (e.g., ambient air, fan readiness) monitored?
Are there permissives or interlocks that must be satisfied before fan operation?</t>
  </si>
  <si>
    <t>Fan Motor Control
What type of control signals are sent to fan motors (e.g., digital start/stop, analog speed)?
Are fan motors controlled via MCC starters or VFDs?
Signal Transmission
Are control signals transmitted via hardwired I/O or digital communications?
If digital, what protocols are used (e.g., Ethernet/IP, Profibus, Modbus RTU)?
Feedback and Confirmation
How does the PLC confirm fan motor status (e.g., running, faulted)?
Are there feedback signals from MCCs or VFDs indicating successful execution?
Alarm and Notification
What alarms are generated for fan motor faults or cooling failures?
How are these alarms communicated to operators (e.g., SCADA, local HMI)?
Data Logging and Reporting
Is fan operation logged for historical analysis?
What data points are recorded (e.g., run time, temperature trends, control actions)?</t>
  </si>
  <si>
    <t>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t>
  </si>
  <si>
    <t>Instrumentation and Measurements
What types of sensors are used to measure:
Fuel gas inlet pressure
Regulator bank output pressure
Fuel gas temperature
Filter differential pressure
Are these sensors analog (e.g., 4–20 mA) or digital (e.g., smart transmitters)?
Signal Transmission
Are these signals transmitted via hardwired I/O or digital communications?
If digital, what protocols are used (e.g., Ethernet/IP, Profibus, Modbus RTU)?
I/O Architecture
Are the sensors connected through local I/O or remote I/O modules?
What is the polling frequency or update rate for each parameter?
Is there diagnostic feedback on sensor health or signal integrity?
Environmental and System Dependencies
Are there permissives or interlocks that must be satisfied before fuel gas supply is enabled?
Is the availability of fuel gas supply monitored digitally (e.g., upstream pressure availability)?</t>
  </si>
  <si>
    <t>Valve Control
What type of control signals are sent to the fuel gas supply valve (e.g., digital open/close, analog modulation)?
Is the valve operated via solenoid, motorized actuator, or other mechanism?
Signal Transmission
Are control signals transmitted via hardwired I/O or digital communications?
If digital, what protocols are used (e.g., Ethernet/IP, Profibus, Modbus RTU)?
Feedback and Confirmation
How does the PLC confirm valve position or actuation status?
Are there feedback signals indicating valve faults or position mismatches?
Alarm and Notification
What alarms are generated for valve control failures or fuel gas supply issues?
How are these alarms communicated to operators (e.g., SCADA, local HMI)?
Data Logging and Reporting
Is valve operation and fuel gas supply data logged for historical analysis?
What data points are recorded (e.g., valve position, pressure trends, temperature)?</t>
  </si>
  <si>
    <t>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t>
  </si>
  <si>
    <t>Telemetry Points
What instrumentation is used to measure:
Station flow rate
Suction/discharge pressures and temperatures
Valve positions (suction, discharge, bypass)
Unit speed and run status
Ancillary systems (e.g., instrument air pressure, AC power status)
ESD conditions
Are these sensors analog (e.g., 4–20 mA) or digital (e.g., smart transmitters)?
Signal Transmission
Are these signals transmitted via hardwired I/O or digital communications?
If digital, what protocols are used (e.g., Ethernet/IP, Profibus, Modbus RTU)?
I/O Architecture
Are telemetry points acquired via local I/O, remote I/O, or networked devices?
What is the polling frequency or update rate for each telemetry point?
Is there diagnostic feedback on signal integrity or device health?
Data Aggregation
How is data from multiple subsystems aggregated within the Station PLC?
Are there intermediary devices (e.g., RTUs, protocol converters) involved?
Alarm Inputs
How are alarms for critical systems (e.g., low instrument air, AC power loss) detected and transmitted?
Are alarm signals discrete or part of a digital message set?</t>
  </si>
  <si>
    <t>Control Capabilities
What control actions can Gas Control initiate via SCADA?
Unit start/stop
Valve open/close
Bypass % open/closed
Station volume and pressure setpoints
Signal Transmission
Are control signals transmitted via hardwired I/O or digital communications?
If digital, what protocols are used (e.g., Ethernet/IP, Profibus, Modbus RTU)?
Actuation Interface
How does the PLC interface with field devices (e.g., actuators, VFDs, MCCs) to execute control commands?
Are there intermediary control devices or relays involved?
Feedback and Confirmation
How does the PLC confirm successful execution of control commands?
Are feedback signals used to verify valve positions, motor status, or setpoint achievement?
Alarm and Notification
What alarms are generated for failed control actions or communication errors?
How are these alarms communicated to Gas Control and local operators?
Data Logging and Reporting
Is control activity logged for historical analysis?
What data points are recorded (e.g., command source, timestamp, execution status)?</t>
  </si>
  <si>
    <t>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t>
  </si>
  <si>
    <t>Start Commands &amp; Mode Selection
What sources provide the local/remote start command (local HMI, hardwired pushbutton, station PLC/SCADA)?
Are these start signals hardwired or digital communications? If digital, which protocols (e.g., Ethernet/IP, Profibus, Modbus RTU)?
ESD/Safety System &amp; Run Permissives
How are ESD/SIS healthy, trip status, and permissive inputs (2oo3 voting, device health) presented to the Unit PLC (hardwired contacts from Safety PLC vs. networked signals)?
Which permissives are mandatory before startup (e.g., lube oil pressure/temperature within range, seal gas/dry gas seal differential pressure, instrument air available, no active unit/station trips), and how are they instrumented?
Subsystem Health &amp; Readiness
Lube oil system: What pressure/temperature transmitters, pump status contacts (main/aux/DC/emergency), filter DP, and cooler status are read by the Unit PLC? Are signals hardwired or via digital comms (protocols)?
Seal gas / dry gas seals: What measurements (seal supply pressure, DP to process, buffer gas quality) and status indications are acquired? Signal type and protocol?
Purge &amp; Pressurization
What inputs confirm purge initiation/completion (timers, flow/pressure switches, breaker status for cranking/venting)?
How is compressor pressurization (settling-out, pre-pressurization) sensed (pressure transmitters on suction/discharge and casing)? Hardwired vs. digital (protocols)? 
Unit Valves &amp; Actuator Position Feedback
Which unit valves (fuel gas isolation, acceleration control valve, bleed/IGV, bypass/recycle on the unit skid) provide position/limit feedback to the Unit PLC, and how (discrete, analog positioner, smart actuator)?
Are these feedbacks hardwired or digital? If digital, what protocols? 
Machine Condition Monitoring
What vibration, bearing metal temperatures, and thermocouple arrays (for exhaust/firing temperature calculations) are ingested, and by what interface (direct analog, proximity probes via condition monitoring system, networked)?
Signal transmission type and protocol? 
Station-Level Dependencies
Which station systems (instrument air, AC power quality, station valving status) are required as permissives, and how are those points provided (local I/O from station devices vs. remote I/O vs. station PLC link)?
Are these signals hardwired or digital? If digital, which protocols?</t>
  </si>
  <si>
    <t>Startup State Machine &amp; Sequencing
What are the defined startup states (e.g., Pre-lube, Pre-pressurize, Purge, Ignition, Warm-up, Acceleration, FSNL, Ready-to-Load), and what entry/exit conditions transition between them?
How are timers, 2oo3 voting, and interlocks implemented within the Unit PLC for each state?
Purge, Ignition, and Fuel Introduction
What logic governs purge duration/completion and ignition permissives before fuel valves crack open?
How does the PLC schedule fuel flow (FSR/Fuel Stroke Reference) during firing, warm-up, and acceleration to prevent over-firing and control temperature/acceleration rates?
Temperature &amp; Speed Control
How are exhaust/firing temperature limits calculated/monitored (thermocouple voting, statistical rejection of failed sensors), and what control curves/schedules limit fuel during acceleration and loading?
How is speed/acceleration governed to reach full speed no-load (FSNL) and “synchronization-ready” (where applicable for generator drives; for compressor drives, load-ready)?
Subsystem Integrity During Startup
What protective logic ensures continuous lube oil supply (automatic pump switchover, minimum pressure/temperature, DP alarms) and seal gas integrity before and during acceleration?
How does the PLC react to low-low lube pressure or seal DP loss mid-start?
Anti-Surge / Recycle Coordination (Unit-Level)
During pressurization and initial flow, what coordination exists with anti-surge control or recycle valves to avoid surge while establishing load?
How are these valve actions sequenced relative to startup states?
Fault Handling &amp; Abort Criteria
What are the abort thresholds (vibration, overspeed, temperature, permissive loss) and post-abort actions (fuel cut, trip valves close, coast-down with pumps maintained)?
How does the PLC log and classify abort causes for subsequent analysis?
Operator Interaction
Which actions are operator-initiated (start request, permissive acknowledgement, manual overrides) versus fully automatic, and how are conflicts between local HMI and station commands resolved (priority rules)?</t>
  </si>
  <si>
    <t>Fuel Gas &amp; Combustion Control
What commands are issued to the Unit fuel gas valves (isolation, metering/acceleration control valve schedules), and what signal types are used (digital open/close, analog 4–20 mA, fieldbus to smart actuator)?
Are these control signals hardwired I/O or digital communications? If digital, what protocols (e.g., Ethernet/IP, Profibus, Modbus RTU)?
Subsystem Actuation
How does the Unit PLC command lube oil pumps (aux/emergency), seal gas boost systems, bleed/IGV positions, purge fans/cranking motors (as applicable to the package)?
Are these commands issued via MCC starters/relays (hardwired) or via drives/controllers over digital comms (protocols)?
Unit Valves (Non-fuel)
What unit valve actuation signals are sent (e.g., bleed valves, IGVs, unit bypass/recycle on skid), and through what interface (DO/AI, smart positioner)?
Are outputs hardwired or digital (protocols)?
Feedback &amp; Command Verification
What status/feedback signals (end-of-travel, actuator health, drive/MCC “run/fault”) are required by the PLC to close the loop on each command during startup?
How are failed actuation or position mismatch alarms generated and prioritized?
Data Logging &amp; Alarming
Which startup events (state entries, timer expirations, permissive checks, aborts) are logged with timestamps for post-event analysis?
How are alarms and alerts for startup deviations reported to the local HMI and, if applicable, to the station PLC/SCADA aggregator?</t>
  </si>
  <si>
    <t>Stop/Shutdown Command Sources
What are the sources of local and remote stop/shutdown commands (local HMI, hardwired panel, station PLC/SCADA)?
Are these signals transmitted via hardwired I/O or digital communications? If digital, what protocols are used (e.g., Ethernet/IP, Profibus, Modbus RTU)?
ESD/Safety &amp; Run Permissives
How are ESD/SIS health, trip status, and run permissives (instrument air available, station power quality, no active trips) provided to the Unit PLC (safety PLC hardwired contacts vs. networked)?
Which permissives must remain true during stop/shutdown (e.g., minimum lube pressure, seal differential pressure) to allow a controlled sequence rather than an immediate trip?
Unit &amp; Fuel Valve Position Feedback
What position/limit feedback is available for fuel gas isolation/metering valves, bleed valves, IGVs, and any unit recycle/vent/isolation valves?
Signal characteristics (discrete end-of-travel vs. analog positioner) and I/O path (local vs. remote)?
Lube Oil System Inputs
Which pressure, temperature, pump run/available, filter differential pressure, and cooler service signals are acquired?
Are auxiliary/emergency pump statuses provided as hardwired contacts or via MCC/drive diagnostics over communications?
Seal Gas / Dry Gas Seal Inputs
Which measurements (seal supply pressure, differential to process, flow/quality/alarm) confirm seal integrity during coast-down or pressurized hold?
Interface type and diagnostics (smart transmitters vs. conventional analog)?
Purge &amp; Cooldown Inputs
What inputs confirm purge initiation/completion (timers, fan/motor status, flow/pressure switches)?
What exhaust/casing temperatures, shaft speed, and bearing metal temperatures are monitored to determine cooldown completion and turning-gear engagement?
Compressor Pressure &amp; Anti-Surge Context
Which suction/discharge/casing pressure transmitters inform the PLC whether to maintain pressurized shutdown or proceed to depressurization?
What feedback exists from anti-surge/recycle valves to verify commanded positions?
Station/System Dependencies
Which station dependencies (instrument air header pressure, AC power quality, network link health) are provided to the Unit PLC, and how?
Are these signals transmitted via hardwired I/O or digital communications? If digital, what protocols are used (e.g., Ethernet/IP, Profibus, Modbus RTU)?
I/O Architecture &amp; Data Quality
Which points are local I/O versus remote I/O; what are the update rates/polling frequencies for critical signals (lube/seal, speed/temp)?
Are device health/diagnostic statuses from smart instruments available (e.g., sensor fault, range status), and by which interface?</t>
  </si>
  <si>
    <t>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t>
  </si>
  <si>
    <t>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t>
  </si>
  <si>
    <t>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t>
  </si>
  <si>
    <t>The primary function is to interface the BESS with the electrical grid or load such that rapid charge (absorbing excess energy to slow down frequency rise) or discharge (supplying energy to boost a falling frequency) to help maintain grid frequency within the required range.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t>
  </si>
  <si>
    <t>The primary function is to monitor and control the entire BESS portfolio by collecting data from multiple installations and components and execute frequency regulation control commands. The following parameters are communicated to the SCADA server: [list]. The following parameters are sent as commands from the SCADA server to other components: [List (component - parameters, ...)]. Examples of parameters include: contributions to grid frequency stabilization, logging the frequency deviations, the response times of the BESS, and the amount of energy absorbed or discharged during each event, the frequency response setpoints, the compliance with grid operator requests.</t>
  </si>
  <si>
    <t>The primary function is to display system information, allow for manual control and adjustment of frequency regulation system parameters, and provide frequency regulation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grid frequency, SoC of the batteries, power being dispatched or absorbed to maintain frequency, response time settings.</t>
  </si>
  <si>
    <t>The primary function is to execute the control algorithms that govern the frequency regulation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t>
  </si>
  <si>
    <t>The primary function is to execute the frequency regulation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t>
  </si>
  <si>
    <t>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t>
  </si>
  <si>
    <t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t>
  </si>
  <si>
    <t>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t>
  </si>
  <si>
    <t>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t>
  </si>
  <si>
    <t>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t>
  </si>
  <si>
    <t>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t>
  </si>
  <si>
    <t>Signal Inventory &amp; Origins
What inputs are required (process measurements, device statuses, environmental sensors, operator entries)?
What are the source devices (make/model/type) and signal types (discrete, analog, fieldbus, wireless)?
Transmission Path &amp; Protocols
Are these signals transmitted via hardwired I/O or digital communications? If digital, what protocols are used (e.g., Ethernet/IP, PROFINET, PROFIBUS‑DP, Modbus RTU/TCP, DNP3, IEC‑104, OPC UA, CAN/J1939, HART)?
Describe the physical media (copper, fiber, serial), topology (star/ring/mesh), and redundancy (dual NIC, dual ring, hot‑standby).
Acquisition Characteristics
What are the scan/update rates, deadbands, calibration ranges, engineering unit conversions, and timestamp resolution for each input class?
How is time synchronization handled (NTP/PTP/GPS/IRIG‑B; master/slave sources)?
Configuration &amp; Authority
If digitally enabled, what parameters can be configured (setpoints, limits, ramps, schedules, firmware options)?
Where is configuration performed (local HMI, engineering workstation, supervisory PLC/SCADA) and under what role‑based access?
Data Integrity &amp; Health
What data quality flags (OK/uncertain/bad), validation/voting, range checks, sensor diagnostics (HART status, device health) are used?
How are line‑supervision (open/short detection), de‑energize‑to‑trip conventions, and wired failsafe inputs implemented?
Boundary Conditions
Which permissives/interlocks must be true to accept inputs (e.g., mode, bypass states, maintenance lockouts)?
Are bypass/inhibit paths present, and how are they annunciated and time‑bounded?
External Data &amp; References
Does the system ingest upstream commands (Gas Control setpoints, ESD states, optimization directives) or reference datasets (maps, curves, coefficients)?
How is versioning and provenance tracked for such inputs?</t>
  </si>
  <si>
    <t>Modes &amp; State Machine
What operational modes exist (Auto/Manual/Local/Remote/Test/Bypass) and what transition criteria move between them?
Provide a state‑sequence overview (Startup → Run → Transient/Degraded → Shutdown/Standby).
Control Strategy
What algorithms are used (On/Off bands, PID/PI, cascades, feedforward, map tracking, voting)?
How are rate limits, ramps, bumpless transfer, and anti‑windup implemented?
Coordination with Other Systems
How does the system interact with Station/Unit/ESD PLCs, MCC/VFDs, ATS/generators, rectifier/DC systems, instrument air, seal/lube auxiliaries?
What handshake (command→accept→execute→prove) and priority rules govern arbitration?
Digital Configuration in Operation
Which parameters are operator‑tunable (setpoints, limits, timers) and how are changes logged (SOE, audit trail)?
Are download/apply procedures staged (preview, checksum, apply, rollback)?
Fault Handling &amp; Degraded Modes
Define fallback behaviors on device faults, comms loss, bad data quality (hold last good, safe state, degraded mode).
What automatic retries, lockouts, and operator interventions are required?
Maintenance &amp; Test
How are maintenance modes and test routines invoked (simulation, stroking tests, leakdown, capacity tests), and how are they annunciated and time‑bounded?
What post‑test normalization and re‑enable criteria apply?
Performance Monitoring &amp; KPIs
Which KPIs (tracking error, availability, runtime, starts/stops, energy use, quality compliance) are computed; at what cadence?
How are threshold breaches handled (alarm, advisory, reconfiguration request)?</t>
  </si>
  <si>
    <t>Actuation &amp; Command Paths
What outputs start/stop, set speed/position/reference, open/close valves/dampers/contactors, initiate cycles (e.g., regeneration, equalize)?
Are these output commands transmitted via hardwired I/O or digital communications? If digital, what protocols are used (e.g., Ethernet/IP, PROFINET, PROFIBUS‑DP, Modbus RTU/TCP, CAN/J1939)?
Feedback &amp; Proof‑of‑Action
What return signals confirm execution (end‑of‑travel, breaker closed, speed achieved, pressure/flow target, quality metric met)?
Define mismatch/timeout alarming and escalation.
Status/Alarm Publication
Which status points, alarms, SOE entries, and trend telemetry are published to STN PLC/HMI/SCADA (and at what rates)?
Are detailed fault codes available via digital comms, and summary discrete alarms available via hardwired I/O?
Data Models &amp; Interfaces
What tags/registers/data sets are exposed (IDs, units, scaling, ranges), and how is schema/versioning managed?
Are northbound integrations (historian, analytics, CMMS) present; describe push/pull and transport (e.g., OPC UA, MQTT).
Safety &amp; Interlocks Confirmation
What outputs/flags assert permissives or interlocks (ready/healthy, bypass engaged, isolation open) to upstream logic?
How are ESD/Trip notifications published (latched states, reset conditions)?
Administration &amp; Lifecycle
How are firmware updates, license keys, time sync, device identity (serial, MAC, certs), and asset metadata reported?
What audit logs (config changes, mode changes, commands) are retained and for how long?</t>
  </si>
  <si>
    <t>Telemetry Processing
How does the PLC process and validate incoming telemetry data?
Are there thresholds or conditions that trigger internal alarms or control actions?
SCADA Integration
What logic governs the formatting and transmission of telemetry data to SCADA servers?
How does the PLC handle communication loss or data transmission errors?
Control Command Handling
How does the PLC validate and execute control commands received from Gas Control?
Are there interlocks or permissives that must be satisfied before executing remote commands?
State Management
How does the PLC manage station state transitions (e.g., startup, shutdown, ESD)?
Is there logic to prioritize or sequence control actions?
Operator Interaction
How does the PLC differentiate between local operator commands and remote SCADA commands?
Are there safeguards to prevent conflicting or unsafe control actions?</t>
  </si>
  <si>
    <t xml:space="preserve">Gas Control operations depend on the control center communications infrastructure, server infrastructure, SCADA platform, field communications infrastructure, station communications infrastructure, and station automation centered at the STN PLC. 
Station PLC commonly used as a SCADA telemetry and control aggregator in support of Gas Control remote operations. Digital communications from Station PLC to Gas Control SCADA platform servers via internal/external WAN infrastructure and control center frontend processors, comms servers, and LAN. </t>
  </si>
  <si>
    <t>Chromatograph Configuration
How often is the chromatograph calibrated and validated?
What is the sampling frequency for gas quality analysis?
Flow Calculation Execution
What AGA standard is used for flow calculation (e.g., AGA3, AGA7)?
What flow measurement method is employed (e.g., orifice plate, ultrasonic, turbine)?
Are pipeline physical dimensions, pressure, and temperature inputs acquired locally?
Fallback and Estimation
What is the fallback method if local flow calculation is unavailable?
How is flow estimated using cumulative Unit compressor rates or adjacent station data?
Station PLC Logic
How does the Station PLC prioritize and load Units based on Operations preferences?
Is there a dynamic optimization algorithm or a fixed logic sequence?</t>
  </si>
  <si>
    <t>Direct dependency on gas quality analytics, chromatograph configuration, and correct/successful communication of gas quality data to the AGA calc device. Note: static values or "last known good" values can be used by the AGA calc device for a period of time in event of loss of comms.
Direct dependency on AGA calc device configuration, flow calculation accuracy,  and correct/successful communication of flow values to the Station PLC. 
Direct dependency on Station PLC logic and correct/successful communication of speed setpoints to individual Unit(s).
Direct dependency on correct operation of Unit PLC control. (Performance Impact sensitivity).
Gas chomatograph is configured, periodically calibrated, and commissioned to provide gas quality analytics using sampling of the pipeline gas stream. Gas quality data (chromatograph) is communicated to the dedicated flow calc device (tyically RTU, may be a PLC).
 Flow calc device is configured to execute an AGA standardized flow calculation using the gas quality data, according to the flow measurement method used (i.e. orfice plate, ultrasonic, turbine, etc.), pipeline physical dimensions, pressure and temperature conditions. Parameter measurements (pressures, temperature, turbine meter speed, etc.) are generally acquired locally via I/O. Flow values are communicated to the Station PLC. In the absence of local flow calc capabilities, Station flow may be estimated using cumulative Unit compressor flow rates or flow measurement communicated from an adjacent station.
The Station PLC uses the calculated flow rate as the Station flow process variable value and executes logic reflecting Operations-preferred individual Unit utilization, prioritization, and loading to achieve the desired Station flow setpoint.  The Station PLC communicates the derived optimized speed setpoints to each Unit PLC.</t>
  </si>
  <si>
    <t>Control Logic Execution
How does the Station PLC determine which Units to prioritize or load based on Operations preferences?
Is there a configurable prioritization matrix or algorithm?
Setpoint Management
How is the pressure setpoint provided by Operations communicated to the Station PLC (e.g., HMI entry, SCADA command)?
Is there a mechanism for setpoint override or manual control?
Unit Coordination
How does the Station PLC calculate and distribute speed setpoints to individual Unit PLCs?
Are there feedback loops from Unit PLCs to confirm execution or report faults?</t>
  </si>
  <si>
    <t xml:space="preserve">Station PLC pressure control PID depends on timely/accurate pressure measurement from the station suction or discharge piping (as applicable) for use as the PV. Process piping pressure measurements are commonly acquired via remote I/O to the Station PLC.
Direct dependency on accuracy/availability of suction/discharge pressure measurement and successful communications to the Station PLC (signal using local I/O; protocol using remote I/O).
Direct dependency on Station PLC logic and correct/successful communication of speed setpoints to individual Unit(s).
The Station PLC uses the header or mainline piping pressure measurement (suction or discharge) as the pressure process variable value and executes logic reflecting Operations-preferred individual Unit utilization, prioritization, and loading to achieve the desired Station pressure setpoint. The Station PLC communicates the derived optimized speed setpoints to each Unit PLC. </t>
  </si>
  <si>
    <t>Control Logic
What conditions must be met for the PLC to initiate valve actuation?
How does the PLC differentiate between normal operation, ESD, and maintenance modes?
What internal logic governs valve sequencing (e.g., suction/discharge close before bypass open)?
State Transitions
How does the PLC handle transitions between operational states (e.g., delivery to ESD)?
Are there timers, interlocks, or permissives involved in these transitions?
Pressure Event Handling
What logic is used to detect and respond to discharge overpressure?
Under what conditions is the bypass valve opened for recycle?
Manual Overrides and Operator Interaction
Can operators override PLC decisions via HMI or SCADA?
What logic ensures safe override handling and prevents conflicting commands?
Validation and Fault Handling
How does the PLC validate successful valve actuation?
What logic is triggered if valve position feedback does not match commanded state?</t>
  </si>
  <si>
    <t>Station PLC valving control depends on valve position feedback and/or relevant process state parameters I/O as well as valve control I/O plus availabiliy of valve actuation medium (e.g. instr air, power gas, electricity, oher). 
Station valving - suction, discharge, bypass, venting, and possibly control valving - all pipeline valving not part of Unit valving or dedicated to ESD functions. 
Station suction and discharge valving is full open during normal delivery operations and would only be closed to isolate the station from the mainline piping during an ESD or maintenance event. Station bypass valve is normally closed. Closing station suction and discharge valving necessitates opening the station bypass valve to facilitate continued mainline flow. The station bypass valve may be used to faciliate recycle in a station discharge overpressure event.</t>
  </si>
  <si>
    <t>Temperature Control Logic
What is the temperature setpoint for station discharge at the mainline tie-in?
How does the PLC determine when to start or stop cooling fans?
Is fan operation staged or modulated based on temperature deviation?
Fan Control Strategy
Are fans operated in discrete steps (e.g., on/off) or continuously via VFD speed control?
Is there a priority or sequencing logic for multiple fan units?
State Transitions and Fault Handling
What logic governs transitions between cooling states (e.g., idle, partial, full cooling)?
How does the PLC respond to sensor faults or out-of-range readings?
Manual Overrides and Operator Interaction
Can operators manually start/stop fans via HMI or SCADA?
What safeguards exist to prevent conflicting commands or unsafe operation?
Performance Monitoring
Does the PLC calculate cooling effectiveness or efficiency?
Are there internal diagnostics or performance thresholds that trigger alarms?</t>
  </si>
  <si>
    <t>Station PLC gas cooling control depends on fan motor I/O to the MCC (starter or VFD) and relevant process parameters (e.g. station discharge gas temperature) I/O.
Station PLC monitors Unit(s) discharge header gas temperature to determine level of application of cooling assembly fan units. Fan motors are operated as needed to achieve temperature setpoint for discharge at station mainline tie in.</t>
  </si>
  <si>
    <t>Control Logic
What are the setpoints or thresholds for fuel gas pressure and temperature?
How does the PLC determine when to open, modulate, or close the fuel gas supply valve?
Is filtering differential pressure used to trigger maintenance alerts or flow adjustments?
State Transitions
How does the PLC respond to changes in fuel demand from Unit engines?
What logic governs transitions between normal operation, startup, and shutdown?
Fault Handling and Safety
What logic is triggered if inlet or outlet pressure is outside acceptable ranges?
How does the PLC respond to high differential pressure across filters?
Manual Overrides and Operator Interaction
Can operators manually control the fuel gas valve via HMI or SCADA?
What safeguards exist to prevent unsafe manual operation?
Performance Monitoring
Does the PLC calculate fuel gas flow rate or consumption trends?
Are there internal diagnostics or performance thresholds that trigger alarms?</t>
  </si>
  <si>
    <t xml:space="preserve">Station PLC fuel gas control depends on subsystem monitoring and supply valve I/O whether local or remote install.
Station PLC provides automated control/monitoring of station fuel gas supply flow, pressure, temperature, and filtering for Unit engines. </t>
  </si>
  <si>
    <t>Step 4 is meant to identify CIE and cyber mitigation opportunities for the Compressor Station system.
Using the framing from the engineering and cybersecurity analysis against a certain equipment or collection of equipment provides the characteristics to analyze for possible mitigations, called mitigation analysis. A set of questions from CIE Implementation guidance are provided in the mitigation analysis column to spur on how one might think about the mitigation from the engineering and cyber analysis.
Once a mitigation opportunity is expressed, you can check against provided mitigation opportunities found in CIE Engineered Controls Database resource (https://github/idaholab/CIE_EC_Database) to see if there is any additional use of CIE engineered control mitigations. 
THE CIE QUESTIONS SOUGHT TO BE ANSWERED HERE ARE:
Are analog or physical protections engineered into the system (where possible) for each high consequence event identified?
How dependent are the system’s engineered controls on digital technologies?
What are the minimum functional capabilities needed? In concept, is there anything that is likely to be implemented via digital means that is not explicitly needed?
Which digital features in a system have the potential to cause critical consequences from unexpected operation or attack, and how can those features be identified during development, procurement, and integration?</t>
  </si>
  <si>
    <t>Step 3 is meant to analyze the enabling functions from multiple perspectives, engineering and cybersecurity.
Questions from CIE Implementation guidance are provided in the analysis columns to spur on how one might think about the descriptions provided by the enabling function description.
Globally, from an engineering perspective, engineers are best suited for questioning the causal behavior that is realized when parameters involved at the equipment are manipulated especially to their extremes. This helps derive what is possible and the concern is not so much at likelihood because the chief assumption is that given enough time and money it is possible.
From a cybersecurity perspective, cybersecurity professionals are best suited for questions the misuse behavior that is made available when digital functions are available within an equipment. In today's modernization, this is becoming more and more ubiquitis in the equipment used to provide the applicable services.
Once the analysis is complete, it is expected that "hotspots", analysis descriptions from engineering that demonstrate the possibility of equipment damage, loss of operations, and other impacts are possible in combination of the misuse demonstrate a desire to mitigate, are present. Special consideration to those services, highlighted yellow, where impacts are at or beyond risk acceptance.
These "hotspots" derived from the analysis are the context to position mitigations enumerated/selected in the next step. Process to Step 4.</t>
  </si>
  <si>
    <t>Step 2 is meant to describe how an applicable piece of equipment contributes (i.e. enabling functions) to the delivery of the applicable compressor station function.
Within each piece of equipment under each available service is a set of default description of the primary function delivered by the equipment. Within that description is bolded entries where specifics can be placed in for your specific system installation and equipment specifics. This description is carried forward into subsequent steps for analysis.
Furthermore, there is no expectation that you must keep the default text describing the enabling functions provided by the equipment in delivering this service. Feel free to replace, add, modify any descriptions to better reflect the functions and the characteristics of those functions that are useful for understanding the important engineering, interdependency (CIE Principle 7) and digital functions (CIE Principle 8) provided by a specific equipment.
Once the descriptions of functions provided by the equipment are complete, proceed to Step 3.
THE CIE QUESTIONS SOUGHT TO BE ANSWERED HERE ARE:
What parts of the design will contain digital components or subcomponents?
What fundamental physics or energy sources, such as voltage, pressure, heat, and potential energy, will be involved in this system?
For each of the process steps, what are the core inputs, outputs, mechanisms (people, tools, systems) and controls (safety standards, regulations, requirements)? How do the various subsystems communicate with each other? 
What are the expected system states?
How are components linked to others? What network interdependencies exist and how/where are they clearly mapped?
How are digital assets used to meet system requirements?
How is the system designed to perform each of its critical functions?</t>
  </si>
  <si>
    <t>Step 1 is meant to select the applicability of a critical function being present in your System's Site Installation.
Adjacent to this reference architecture is a table mapping those ID to their respective functions available at a Compressor Station site. It is expected that the user adjust the Applicable column from 'Yes' to 'No' to indicate whether that specific function is present in your system's site installation and the scope of your subsequent analysis.
Once the decisions of function applicability is complete, you can move to Step 2, where any functions that was deemed not applicable for analysis is hidden so that the experience is tailored to just applicable 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</si>
</sst>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0"/>
      <color theme="1"/>
      <name val="Aptos Narrow"/>
      <family val="2"/>
      <scheme val="minor"/>
    </font>
    <font>
      <b/>
      <sz val="8"/>
      <color theme="1"/>
      <name val="Aptos Narrow"/>
      <family val="2"/>
      <scheme val="minor"/>
    </font>
    <font>
      <b/>
      <i/>
      <sz val="11"/>
      <color theme="1"/>
      <name val="Aptos Narrow"/>
      <family val="2"/>
      <scheme val="minor"/>
    </font>
    <font>
      <b/>
      <i/>
      <sz val="11"/>
      <color theme="0"/>
      <name val="Aptos Narrow"/>
      <family val="2"/>
      <scheme val="minor"/>
    </font>
    <font>
      <sz val="10"/>
      <color theme="1"/>
      <name val="Aptos Narrow"/>
      <family val="2"/>
      <scheme val="minor"/>
    </font>
    <font>
      <b/>
      <sz val="16"/>
      <color theme="1"/>
      <name val="Aptos Narrow"/>
      <family val="2"/>
      <scheme val="minor"/>
    </font>
    <font>
      <b/>
      <i/>
      <sz val="9"/>
      <color theme="0"/>
      <name val="Aptos Narrow"/>
      <family val="2"/>
      <scheme val="minor"/>
    </font>
    <font>
      <i/>
      <sz val="11"/>
      <color theme="1"/>
      <name val="Aptos Narrow"/>
      <family val="2"/>
      <scheme val="minor"/>
    </font>
    <font>
      <i/>
      <sz val="9"/>
      <color theme="0"/>
      <name val="Aptos Narrow"/>
      <family val="2"/>
      <scheme val="minor"/>
    </font>
  </fonts>
  <fills count="11">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FFFFFF"/>
        <bgColor indexed="64"/>
      </patternFill>
    </fill>
    <fill>
      <patternFill patternType="solid">
        <fgColor rgb="FF00B0F0"/>
        <bgColor indexed="64"/>
      </patternFill>
    </fill>
    <fill>
      <patternFill patternType="solid">
        <fgColor theme="0" tint="-4.9989318521683403E-2"/>
        <bgColor indexed="64"/>
      </patternFill>
    </fill>
  </fills>
  <borders count="7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thin">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style="medium">
        <color indexed="64"/>
      </top>
      <bottom/>
      <diagonal/>
    </border>
    <border>
      <left style="medium">
        <color indexed="64"/>
      </left>
      <right/>
      <top style="thin">
        <color indexed="64"/>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style="thin">
        <color indexed="64"/>
      </left>
      <right style="thin">
        <color indexed="64"/>
      </right>
      <top/>
      <bottom style="medium">
        <color indexed="64"/>
      </bottom>
      <diagonal/>
    </border>
    <border>
      <left/>
      <right style="medium">
        <color indexed="64"/>
      </right>
      <top style="thin">
        <color indexed="64"/>
      </top>
      <bottom/>
      <diagonal/>
    </border>
    <border>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medium">
        <color indexed="64"/>
      </left>
      <right/>
      <top/>
      <bottom style="thin">
        <color indexed="64"/>
      </bottom>
      <diagonal/>
    </border>
    <border>
      <left/>
      <right/>
      <top style="thin">
        <color indexed="64"/>
      </top>
      <bottom/>
      <diagonal/>
    </border>
    <border>
      <left style="thin">
        <color indexed="64"/>
      </left>
      <right style="thin">
        <color indexed="64"/>
      </right>
      <top/>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bottom/>
      <diagonal/>
    </border>
  </borders>
  <cellStyleXfs count="1">
    <xf numFmtId="0" fontId="0" fillId="0" borderId="0"/>
  </cellStyleXfs>
  <cellXfs count="265">
    <xf numFmtId="0" fontId="0" fillId="0" borderId="0" xfId="0"/>
    <xf numFmtId="0" fontId="0" fillId="2" borderId="0" xfId="0" applyFill="1"/>
    <xf numFmtId="0" fontId="2" fillId="2" borderId="37" xfId="0" applyFont="1" applyFill="1" applyBorder="1"/>
    <xf numFmtId="0" fontId="2" fillId="2" borderId="38" xfId="0" applyFont="1" applyFill="1" applyBorder="1"/>
    <xf numFmtId="0" fontId="0" fillId="2" borderId="0" xfId="0" applyFill="1" applyAlignment="1">
      <alignment wrapText="1"/>
    </xf>
    <xf numFmtId="0" fontId="2" fillId="2" borderId="0" xfId="0" applyFont="1" applyFill="1" applyAlignment="1">
      <alignment vertical="center" wrapText="1"/>
    </xf>
    <xf numFmtId="0" fontId="5" fillId="2" borderId="0" xfId="0" applyFont="1" applyFill="1" applyAlignment="1">
      <alignment horizontal="center" vertical="center" wrapText="1"/>
    </xf>
    <xf numFmtId="0" fontId="0" fillId="4" borderId="35" xfId="0" applyFill="1" applyBorder="1"/>
    <xf numFmtId="0" fontId="8" fillId="2" borderId="0" xfId="0" applyFont="1" applyFill="1" applyAlignment="1">
      <alignment horizontal="center" vertical="center" wrapText="1"/>
    </xf>
    <xf numFmtId="0" fontId="2" fillId="2" borderId="0" xfId="0" applyFont="1" applyFill="1"/>
    <xf numFmtId="0" fontId="9" fillId="2" borderId="0" xfId="0" applyFont="1" applyFill="1"/>
    <xf numFmtId="0" fontId="0" fillId="2" borderId="0" xfId="0" applyFill="1" applyAlignment="1">
      <alignment horizontal="right"/>
    </xf>
    <xf numFmtId="0" fontId="0" fillId="2" borderId="2" xfId="0" applyFill="1" applyBorder="1"/>
    <xf numFmtId="0" fontId="0" fillId="2" borderId="0" xfId="0" applyFill="1" applyAlignment="1">
      <alignment horizontal="right" vertical="top"/>
    </xf>
    <xf numFmtId="0" fontId="0" fillId="2" borderId="0" xfId="0" applyFill="1" applyAlignment="1">
      <alignment vertical="top" wrapText="1"/>
    </xf>
    <xf numFmtId="0" fontId="2" fillId="2" borderId="0" xfId="0" applyFont="1" applyFill="1" applyAlignment="1">
      <alignment horizontal="center" wrapText="1"/>
    </xf>
    <xf numFmtId="0" fontId="0" fillId="4" borderId="21" xfId="0" applyFill="1" applyBorder="1" applyAlignment="1">
      <alignment wrapText="1"/>
    </xf>
    <xf numFmtId="0" fontId="2" fillId="2" borderId="0" xfId="0" applyFont="1" applyFill="1" applyAlignment="1">
      <alignment horizontal="right" vertical="center" wrapText="1"/>
    </xf>
    <xf numFmtId="0" fontId="2" fillId="2" borderId="0" xfId="0" applyFont="1" applyFill="1" applyAlignment="1">
      <alignment horizontal="left"/>
    </xf>
    <xf numFmtId="0" fontId="1" fillId="4" borderId="0" xfId="0" applyFont="1" applyFill="1" applyAlignment="1">
      <alignment horizontal="center" vertical="center" wrapText="1"/>
    </xf>
    <xf numFmtId="0" fontId="10" fillId="4" borderId="20" xfId="0" applyFont="1" applyFill="1" applyBorder="1"/>
    <xf numFmtId="0" fontId="0" fillId="4" borderId="45" xfId="0" applyFill="1" applyBorder="1"/>
    <xf numFmtId="0" fontId="1" fillId="4" borderId="29" xfId="0" applyFont="1" applyFill="1" applyBorder="1" applyAlignment="1">
      <alignment horizontal="center" vertical="center" wrapText="1"/>
    </xf>
    <xf numFmtId="0" fontId="0" fillId="2" borderId="0" xfId="0" applyFill="1" applyAlignment="1">
      <alignment horizontal="left" vertical="top" wrapText="1"/>
    </xf>
    <xf numFmtId="0" fontId="0" fillId="2" borderId="41" xfId="0" applyFill="1" applyBorder="1" applyAlignment="1">
      <alignment horizontal="right" vertical="center" wrapText="1"/>
    </xf>
    <xf numFmtId="0" fontId="6" fillId="0" borderId="28" xfId="0" applyFont="1" applyBorder="1" applyAlignment="1">
      <alignment horizontal="center" vertical="center" wrapText="1"/>
    </xf>
    <xf numFmtId="0" fontId="0" fillId="0" borderId="25" xfId="0" applyBorder="1" applyAlignment="1">
      <alignment horizontal="center" vertical="center" wrapText="1"/>
    </xf>
    <xf numFmtId="0" fontId="0" fillId="0" borderId="27" xfId="0" applyBorder="1" applyAlignment="1">
      <alignment horizontal="center" vertical="center" wrapText="1"/>
    </xf>
    <xf numFmtId="0" fontId="0" fillId="0" borderId="43" xfId="0" applyBorder="1" applyAlignment="1">
      <alignment horizontal="center" vertical="center" wrapText="1"/>
    </xf>
    <xf numFmtId="0" fontId="0" fillId="0" borderId="0" xfId="0" applyAlignment="1">
      <alignment wrapText="1"/>
    </xf>
    <xf numFmtId="0" fontId="6" fillId="0" borderId="38" xfId="0" applyFont="1" applyBorder="1" applyAlignment="1">
      <alignment horizontal="center" vertical="center" wrapText="1"/>
    </xf>
    <xf numFmtId="0" fontId="6" fillId="0" borderId="39" xfId="0" applyFont="1" applyBorder="1" applyAlignment="1">
      <alignment horizontal="center" vertical="center" wrapText="1"/>
    </xf>
    <xf numFmtId="0" fontId="6" fillId="0" borderId="40" xfId="0" applyFont="1" applyBorder="1" applyAlignment="1">
      <alignment horizontal="center" vertical="center" wrapText="1"/>
    </xf>
    <xf numFmtId="0" fontId="0" fillId="0" borderId="26" xfId="0" applyBorder="1" applyAlignment="1">
      <alignment horizontal="center" vertical="center" wrapText="1"/>
    </xf>
    <xf numFmtId="0" fontId="11" fillId="0" borderId="12" xfId="0" applyFont="1" applyBorder="1" applyAlignment="1">
      <alignment horizontal="left" vertical="center" wrapText="1"/>
    </xf>
    <xf numFmtId="0" fontId="0" fillId="0" borderId="1" xfId="0" applyBorder="1" applyAlignment="1">
      <alignment horizontal="center" vertical="center" wrapText="1"/>
    </xf>
    <xf numFmtId="0" fontId="0" fillId="0" borderId="44" xfId="0" applyBorder="1" applyAlignment="1">
      <alignment horizontal="center" vertical="center" wrapText="1"/>
    </xf>
    <xf numFmtId="0" fontId="11" fillId="0" borderId="12" xfId="0" applyFont="1"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2" fillId="2" borderId="7"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36" xfId="0" applyFont="1" applyFill="1" applyBorder="1" applyAlignment="1">
      <alignment horizontal="center" vertical="center" wrapText="1"/>
    </xf>
    <xf numFmtId="0" fontId="2" fillId="2" borderId="33" xfId="0" applyFont="1" applyFill="1" applyBorder="1" applyAlignment="1">
      <alignment horizontal="center" vertical="center" wrapText="1"/>
    </xf>
    <xf numFmtId="0" fontId="2" fillId="2" borderId="34" xfId="0" applyFont="1" applyFill="1" applyBorder="1" applyAlignment="1">
      <alignment horizontal="center" vertical="center" wrapText="1"/>
    </xf>
    <xf numFmtId="0" fontId="2" fillId="2" borderId="52" xfId="0" applyFont="1" applyFill="1" applyBorder="1" applyAlignment="1">
      <alignment horizontal="center" vertical="center" wrapText="1"/>
    </xf>
    <xf numFmtId="0" fontId="2" fillId="2" borderId="60" xfId="0" applyFont="1" applyFill="1" applyBorder="1" applyAlignment="1">
      <alignment horizontal="center" vertical="center" wrapText="1"/>
    </xf>
    <xf numFmtId="0" fontId="0" fillId="2" borderId="9" xfId="0" applyFill="1" applyBorder="1"/>
    <xf numFmtId="0" fontId="6" fillId="0" borderId="22" xfId="0" applyFont="1" applyBorder="1" applyAlignment="1">
      <alignment horizontal="center" vertical="center" wrapText="1"/>
    </xf>
    <xf numFmtId="0" fontId="0" fillId="0" borderId="1" xfId="0" applyBorder="1" applyAlignment="1">
      <alignment vertical="center" wrapText="1"/>
    </xf>
    <xf numFmtId="0" fontId="7" fillId="4" borderId="1" xfId="0" applyFont="1" applyFill="1" applyBorder="1" applyAlignment="1">
      <alignment horizontal="center" vertical="center" wrapText="1"/>
    </xf>
    <xf numFmtId="0" fontId="0" fillId="2" borderId="0" xfId="0" applyFill="1" applyAlignment="1">
      <alignment horizontal="right" vertical="center"/>
    </xf>
    <xf numFmtId="0" fontId="0" fillId="2" borderId="7" xfId="0" applyFill="1" applyBorder="1" applyAlignment="1">
      <alignment horizontal="right" vertical="center" wrapText="1"/>
    </xf>
    <xf numFmtId="0" fontId="0" fillId="2" borderId="8" xfId="0" applyFill="1" applyBorder="1" applyAlignment="1">
      <alignment horizontal="right" vertical="center" wrapText="1"/>
    </xf>
    <xf numFmtId="0" fontId="0" fillId="2" borderId="9" xfId="0" applyFill="1" applyBorder="1" applyAlignment="1">
      <alignment horizontal="right" vertical="center" wrapText="1"/>
    </xf>
    <xf numFmtId="0" fontId="0" fillId="4" borderId="1" xfId="0" applyFill="1" applyBorder="1" applyAlignment="1">
      <alignment vertical="center" wrapText="1"/>
    </xf>
    <xf numFmtId="0" fontId="6" fillId="0" borderId="42" xfId="0" applyFont="1" applyBorder="1" applyAlignment="1">
      <alignment horizontal="center" vertical="center" wrapText="1"/>
    </xf>
    <xf numFmtId="0" fontId="0" fillId="4" borderId="1" xfId="0" applyFill="1" applyBorder="1" applyAlignment="1">
      <alignment wrapText="1"/>
    </xf>
    <xf numFmtId="0" fontId="0" fillId="2" borderId="55" xfId="0" applyFill="1" applyBorder="1"/>
    <xf numFmtId="0" fontId="0" fillId="2" borderId="65" xfId="0" applyFill="1" applyBorder="1"/>
    <xf numFmtId="0" fontId="0" fillId="2" borderId="64" xfId="0" applyFill="1" applyBorder="1"/>
    <xf numFmtId="0" fontId="0" fillId="0" borderId="28" xfId="0" applyBorder="1" applyAlignment="1">
      <alignment horizontal="center" vertical="center" wrapText="1"/>
    </xf>
    <xf numFmtId="0" fontId="0" fillId="0" borderId="24" xfId="0" applyBorder="1" applyAlignment="1">
      <alignment horizontal="center" vertical="center" wrapText="1"/>
    </xf>
    <xf numFmtId="0" fontId="11" fillId="0" borderId="40" xfId="0" applyFont="1" applyBorder="1" applyAlignment="1">
      <alignment horizontal="center" vertical="center" wrapText="1"/>
    </xf>
    <xf numFmtId="0" fontId="2" fillId="5" borderId="32" xfId="0" applyFont="1" applyFill="1" applyBorder="1" applyAlignment="1">
      <alignment vertical="center" textRotation="90" wrapText="1"/>
    </xf>
    <xf numFmtId="0" fontId="0" fillId="2" borderId="1" xfId="0" applyFill="1" applyBorder="1"/>
    <xf numFmtId="0" fontId="0" fillId="2" borderId="26" xfId="0" applyFill="1" applyBorder="1"/>
    <xf numFmtId="0" fontId="0" fillId="2" borderId="44" xfId="0" applyFill="1" applyBorder="1"/>
    <xf numFmtId="0" fontId="2" fillId="2" borderId="21" xfId="0" applyFont="1" applyFill="1" applyBorder="1" applyAlignment="1">
      <alignment horizontal="center" vertical="center" wrapText="1"/>
    </xf>
    <xf numFmtId="0" fontId="2" fillId="2" borderId="0" xfId="0" applyFont="1" applyFill="1" applyAlignment="1">
      <alignment horizontal="center" vertical="center" wrapText="1"/>
    </xf>
    <xf numFmtId="0" fontId="0" fillId="2" borderId="0" xfId="0" applyFill="1" applyAlignment="1">
      <alignment horizontal="center"/>
    </xf>
    <xf numFmtId="0" fontId="2" fillId="2" borderId="0" xfId="0" applyFont="1" applyFill="1" applyAlignment="1">
      <alignment horizontal="center" vertical="center"/>
    </xf>
    <xf numFmtId="0" fontId="2" fillId="2" borderId="47" xfId="0" applyFont="1" applyFill="1" applyBorder="1"/>
    <xf numFmtId="0" fontId="0" fillId="2" borderId="33" xfId="0" applyFill="1" applyBorder="1" applyAlignment="1">
      <alignment horizontal="left" vertical="top"/>
    </xf>
    <xf numFmtId="0" fontId="0" fillId="2" borderId="34" xfId="0" applyFill="1" applyBorder="1" applyAlignment="1">
      <alignment horizontal="left" vertical="top"/>
    </xf>
    <xf numFmtId="0" fontId="0" fillId="2" borderId="52" xfId="0" applyFill="1" applyBorder="1" applyAlignment="1">
      <alignment horizontal="left" vertical="top"/>
    </xf>
    <xf numFmtId="0" fontId="0" fillId="2" borderId="36" xfId="0" applyFill="1" applyBorder="1" applyAlignment="1">
      <alignment horizontal="left" vertical="top"/>
    </xf>
    <xf numFmtId="0" fontId="0" fillId="2" borderId="61" xfId="0" applyFill="1" applyBorder="1" applyAlignment="1">
      <alignment horizontal="left" vertical="top"/>
    </xf>
    <xf numFmtId="0" fontId="0" fillId="2" borderId="33" xfId="0" applyFill="1" applyBorder="1"/>
    <xf numFmtId="0" fontId="0" fillId="2" borderId="34" xfId="0" applyFill="1" applyBorder="1"/>
    <xf numFmtId="0" fontId="0" fillId="2" borderId="36" xfId="0" applyFill="1" applyBorder="1"/>
    <xf numFmtId="0" fontId="0" fillId="2" borderId="21" xfId="0" applyFill="1" applyBorder="1"/>
    <xf numFmtId="0" fontId="0" fillId="2" borderId="8" xfId="0" applyFill="1" applyBorder="1" applyAlignment="1">
      <alignment horizontal="center"/>
    </xf>
    <xf numFmtId="0" fontId="0" fillId="2" borderId="9" xfId="0" applyFill="1" applyBorder="1" applyAlignment="1">
      <alignment horizontal="center"/>
    </xf>
    <xf numFmtId="0" fontId="2" fillId="2" borderId="0" xfId="0" applyFont="1" applyFill="1" applyAlignment="1">
      <alignment vertical="center" textRotation="90"/>
    </xf>
    <xf numFmtId="0" fontId="2" fillId="2" borderId="2" xfId="0" applyFont="1" applyFill="1" applyBorder="1"/>
    <xf numFmtId="0" fontId="0" fillId="2" borderId="7" xfId="0" applyFill="1" applyBorder="1" applyAlignment="1">
      <alignment horizontal="center"/>
    </xf>
    <xf numFmtId="0" fontId="2" fillId="6" borderId="18" xfId="0" applyFont="1" applyFill="1" applyBorder="1" applyAlignment="1">
      <alignment horizontal="center" vertical="center" wrapText="1"/>
    </xf>
    <xf numFmtId="0" fontId="0" fillId="2" borderId="18" xfId="0" applyFill="1" applyBorder="1" applyAlignment="1">
      <alignment horizontal="center"/>
    </xf>
    <xf numFmtId="0" fontId="2" fillId="2" borderId="64" xfId="0" applyFont="1" applyFill="1" applyBorder="1" applyAlignment="1">
      <alignment horizontal="center" vertical="center" wrapText="1"/>
    </xf>
    <xf numFmtId="0" fontId="2" fillId="2" borderId="65" xfId="0" applyFont="1" applyFill="1" applyBorder="1" applyAlignment="1">
      <alignment horizontal="center" vertical="center" wrapText="1"/>
    </xf>
    <xf numFmtId="0" fontId="0" fillId="2" borderId="50" xfId="0" applyFill="1" applyBorder="1" applyAlignment="1">
      <alignment horizontal="left" vertical="top"/>
    </xf>
    <xf numFmtId="0" fontId="1" fillId="4" borderId="62" xfId="0" applyFont="1" applyFill="1" applyBorder="1" applyAlignment="1">
      <alignment vertical="center" textRotation="90" wrapText="1"/>
    </xf>
    <xf numFmtId="0" fontId="1" fillId="4" borderId="0" xfId="0" applyFont="1" applyFill="1" applyAlignment="1">
      <alignment vertical="center" textRotation="90" wrapText="1"/>
    </xf>
    <xf numFmtId="0" fontId="12" fillId="4" borderId="35" xfId="0" applyFont="1" applyFill="1" applyBorder="1"/>
    <xf numFmtId="0" fontId="0" fillId="4" borderId="0" xfId="0" applyFill="1"/>
    <xf numFmtId="0" fontId="0" fillId="4" borderId="21" xfId="0" applyFill="1" applyBorder="1"/>
    <xf numFmtId="0" fontId="11" fillId="2" borderId="20" xfId="0" applyFont="1" applyFill="1" applyBorder="1" applyAlignment="1">
      <alignment horizontal="center" vertical="center" wrapText="1"/>
    </xf>
    <xf numFmtId="0" fontId="11" fillId="2" borderId="2" xfId="0" applyFont="1" applyFill="1" applyBorder="1" applyAlignment="1">
      <alignment horizontal="center" vertical="center" wrapText="1"/>
    </xf>
    <xf numFmtId="0" fontId="0" fillId="2" borderId="7" xfId="0" applyFill="1" applyBorder="1" applyAlignment="1">
      <alignment horizontal="center" vertical="center" wrapText="1"/>
    </xf>
    <xf numFmtId="0" fontId="0" fillId="8" borderId="64" xfId="0" applyFill="1" applyBorder="1" applyAlignment="1">
      <alignment horizontal="center" vertical="center" wrapText="1"/>
    </xf>
    <xf numFmtId="0" fontId="0" fillId="10" borderId="33" xfId="0" applyFill="1" applyBorder="1" applyAlignment="1">
      <alignment horizontal="center" vertical="center" wrapText="1"/>
    </xf>
    <xf numFmtId="0" fontId="0" fillId="10" borderId="25" xfId="0" applyFill="1" applyBorder="1" applyAlignment="1">
      <alignment horizontal="center" vertical="center" wrapText="1"/>
    </xf>
    <xf numFmtId="0" fontId="0" fillId="10" borderId="26" xfId="0" applyFill="1" applyBorder="1" applyAlignment="1">
      <alignment horizontal="center" vertical="center" wrapText="1"/>
    </xf>
    <xf numFmtId="0" fontId="0" fillId="10" borderId="12" xfId="0" applyFill="1" applyBorder="1" applyAlignment="1">
      <alignment horizontal="center" vertical="center" wrapText="1"/>
    </xf>
    <xf numFmtId="0" fontId="0" fillId="8" borderId="55" xfId="0" applyFill="1" applyBorder="1" applyAlignment="1">
      <alignment horizontal="center" vertical="center" wrapText="1"/>
    </xf>
    <xf numFmtId="0" fontId="0" fillId="10" borderId="36" xfId="0" applyFill="1" applyBorder="1" applyAlignment="1">
      <alignment horizontal="center" vertical="center" wrapText="1"/>
    </xf>
    <xf numFmtId="0" fontId="0" fillId="10" borderId="4" xfId="0" applyFill="1" applyBorder="1" applyAlignment="1">
      <alignment horizontal="center" vertical="center" wrapText="1"/>
    </xf>
    <xf numFmtId="0" fontId="0" fillId="10" borderId="65" xfId="0" applyFill="1" applyBorder="1" applyAlignment="1">
      <alignment horizontal="center" vertical="center" wrapText="1"/>
    </xf>
    <xf numFmtId="0" fontId="0" fillId="10" borderId="44" xfId="0" applyFill="1" applyBorder="1" applyAlignment="1">
      <alignment horizontal="center" vertical="center" wrapText="1"/>
    </xf>
    <xf numFmtId="0" fontId="0" fillId="10" borderId="59" xfId="0" applyFill="1" applyBorder="1" applyAlignment="1">
      <alignment horizontal="center" vertical="center" wrapText="1"/>
    </xf>
    <xf numFmtId="0" fontId="0" fillId="2" borderId="8" xfId="0" applyFill="1" applyBorder="1" applyAlignment="1">
      <alignment horizontal="center" vertical="center" wrapText="1"/>
    </xf>
    <xf numFmtId="0" fontId="0" fillId="2" borderId="55"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48" xfId="0" applyFill="1" applyBorder="1" applyAlignment="1">
      <alignment horizontal="center" vertical="center" wrapText="1"/>
    </xf>
    <xf numFmtId="0" fontId="0" fillId="10" borderId="3" xfId="0" applyFill="1" applyBorder="1" applyAlignment="1">
      <alignment horizontal="center" vertical="center" wrapText="1"/>
    </xf>
    <xf numFmtId="0" fontId="0" fillId="10" borderId="23" xfId="0" applyFill="1" applyBorder="1" applyAlignment="1">
      <alignment horizontal="center" vertical="center" wrapText="1"/>
    </xf>
    <xf numFmtId="0" fontId="0" fillId="10" borderId="27" xfId="0" applyFill="1" applyBorder="1" applyAlignment="1">
      <alignment horizontal="center" vertical="center" wrapText="1"/>
    </xf>
    <xf numFmtId="0" fontId="0" fillId="10" borderId="1" xfId="0" applyFill="1" applyBorder="1" applyAlignment="1">
      <alignment horizontal="center" vertical="center" wrapText="1"/>
    </xf>
    <xf numFmtId="0" fontId="0" fillId="10" borderId="55" xfId="0" applyFill="1" applyBorder="1" applyAlignment="1">
      <alignment horizontal="center" vertical="center" wrapText="1"/>
    </xf>
    <xf numFmtId="0" fontId="0" fillId="2" borderId="9" xfId="0" applyFill="1" applyBorder="1" applyAlignment="1">
      <alignment horizontal="center" vertical="center" wrapText="1"/>
    </xf>
    <xf numFmtId="0" fontId="0" fillId="8" borderId="65" xfId="0" applyFill="1" applyBorder="1" applyAlignment="1">
      <alignment horizontal="center" vertical="center" wrapText="1"/>
    </xf>
    <xf numFmtId="0" fontId="0" fillId="10" borderId="62" xfId="0" applyFill="1" applyBorder="1" applyAlignment="1">
      <alignment horizontal="center" vertical="center" wrapText="1"/>
    </xf>
    <xf numFmtId="0" fontId="0" fillId="10" borderId="28" xfId="0" applyFill="1" applyBorder="1" applyAlignment="1">
      <alignment horizontal="center" vertical="center" wrapText="1"/>
    </xf>
    <xf numFmtId="0" fontId="0" fillId="10" borderId="24" xfId="0" applyFill="1" applyBorder="1" applyAlignment="1">
      <alignment horizontal="center" vertical="center" wrapText="1"/>
    </xf>
    <xf numFmtId="0" fontId="0" fillId="10" borderId="66" xfId="0" applyFill="1" applyBorder="1" applyAlignment="1">
      <alignment horizontal="center" vertical="center" wrapText="1"/>
    </xf>
    <xf numFmtId="0" fontId="0" fillId="8" borderId="60" xfId="0" applyFill="1" applyBorder="1" applyAlignment="1">
      <alignment horizontal="center" vertical="center" wrapText="1"/>
    </xf>
    <xf numFmtId="0" fontId="0" fillId="10" borderId="13" xfId="0" applyFill="1" applyBorder="1" applyAlignment="1">
      <alignment horizontal="center" vertical="center" wrapText="1"/>
    </xf>
    <xf numFmtId="0" fontId="0" fillId="2" borderId="17" xfId="0" applyFill="1" applyBorder="1" applyAlignment="1">
      <alignment horizontal="center" vertical="center" wrapText="1"/>
    </xf>
    <xf numFmtId="0" fontId="0" fillId="8" borderId="62" xfId="0" applyFill="1" applyBorder="1" applyAlignment="1">
      <alignment horizontal="center" vertical="center" wrapText="1"/>
    </xf>
    <xf numFmtId="0" fontId="0" fillId="10" borderId="40" xfId="0" applyFill="1" applyBorder="1" applyAlignment="1">
      <alignment horizontal="center" vertical="center" wrapText="1"/>
    </xf>
    <xf numFmtId="0" fontId="0" fillId="5" borderId="32" xfId="0" applyFill="1" applyBorder="1" applyAlignment="1">
      <alignment vertical="center" textRotation="90" wrapText="1"/>
    </xf>
    <xf numFmtId="0" fontId="0" fillId="2" borderId="2" xfId="0" applyFill="1" applyBorder="1" applyAlignment="1">
      <alignment horizontal="center" vertical="center" wrapText="1"/>
    </xf>
    <xf numFmtId="0" fontId="0" fillId="2" borderId="68" xfId="0" applyFill="1" applyBorder="1" applyAlignment="1">
      <alignment horizontal="center" vertical="center" wrapText="1"/>
    </xf>
    <xf numFmtId="0" fontId="0" fillId="2" borderId="30" xfId="0" applyFill="1" applyBorder="1" applyAlignment="1">
      <alignment horizontal="center" vertical="center" wrapText="1"/>
    </xf>
    <xf numFmtId="0" fontId="0" fillId="10" borderId="5"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2"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49" xfId="0" applyFill="1" applyBorder="1"/>
    <xf numFmtId="0" fontId="0" fillId="2" borderId="60" xfId="0" applyFill="1" applyBorder="1" applyAlignment="1">
      <alignment horizontal="center" vertical="center" wrapText="1"/>
    </xf>
    <xf numFmtId="0" fontId="0" fillId="10" borderId="19" xfId="0" applyFill="1" applyBorder="1" applyAlignment="1">
      <alignment horizontal="center" vertical="center" wrapText="1"/>
    </xf>
    <xf numFmtId="0" fontId="0" fillId="2" borderId="6" xfId="0" applyFill="1" applyBorder="1"/>
    <xf numFmtId="0" fontId="0" fillId="10" borderId="58" xfId="0" applyFill="1" applyBorder="1" applyAlignment="1">
      <alignment horizontal="center" vertical="center" wrapText="1"/>
    </xf>
    <xf numFmtId="0" fontId="0" fillId="2" borderId="22" xfId="0" applyFill="1" applyBorder="1"/>
    <xf numFmtId="0" fontId="0" fillId="2" borderId="62" xfId="0" applyFill="1" applyBorder="1" applyAlignment="1">
      <alignment horizontal="center" vertical="center" wrapText="1"/>
    </xf>
    <xf numFmtId="0" fontId="0" fillId="10" borderId="54" xfId="0" applyFill="1" applyBorder="1" applyAlignment="1">
      <alignment horizontal="center" vertical="center" wrapText="1"/>
    </xf>
    <xf numFmtId="0" fontId="0" fillId="2" borderId="11" xfId="0" applyFill="1" applyBorder="1"/>
    <xf numFmtId="0" fontId="0" fillId="2" borderId="64" xfId="0" applyFill="1" applyBorder="1" applyAlignment="1">
      <alignment horizontal="center" vertical="center" wrapText="1"/>
    </xf>
    <xf numFmtId="0" fontId="0" fillId="10" borderId="41" xfId="0" applyFill="1" applyBorder="1" applyAlignment="1">
      <alignment horizontal="center" vertical="center" wrapText="1"/>
    </xf>
    <xf numFmtId="0" fontId="0" fillId="10" borderId="7" xfId="0" applyFill="1" applyBorder="1" applyAlignment="1">
      <alignment horizontal="center" vertical="center" wrapText="1"/>
    </xf>
    <xf numFmtId="0" fontId="0" fillId="2" borderId="14" xfId="0" applyFill="1" applyBorder="1"/>
    <xf numFmtId="0" fontId="0" fillId="2" borderId="65" xfId="0" applyFill="1" applyBorder="1" applyAlignment="1">
      <alignment horizontal="center" vertical="center" wrapText="1"/>
    </xf>
    <xf numFmtId="0" fontId="0" fillId="10" borderId="43" xfId="0" applyFill="1" applyBorder="1" applyAlignment="1">
      <alignment horizontal="center" vertical="center" wrapText="1"/>
    </xf>
    <xf numFmtId="0" fontId="0" fillId="10" borderId="46" xfId="0" applyFill="1" applyBorder="1" applyAlignment="1">
      <alignment horizontal="center" vertical="center" wrapText="1"/>
    </xf>
    <xf numFmtId="0" fontId="0" fillId="6" borderId="50" xfId="0" applyFill="1" applyBorder="1" applyAlignment="1">
      <alignment vertical="center" textRotation="90" wrapText="1"/>
    </xf>
    <xf numFmtId="0" fontId="0" fillId="10" borderId="56" xfId="0" applyFill="1" applyBorder="1" applyAlignment="1">
      <alignment horizontal="center" vertical="center" wrapText="1"/>
    </xf>
    <xf numFmtId="0" fontId="0" fillId="10" borderId="63" xfId="0" applyFill="1" applyBorder="1" applyAlignment="1">
      <alignment horizontal="center" vertical="center" wrapText="1"/>
    </xf>
    <xf numFmtId="0" fontId="0" fillId="10" borderId="69" xfId="0" applyFill="1" applyBorder="1" applyAlignment="1">
      <alignment horizontal="center" vertical="center" wrapText="1"/>
    </xf>
    <xf numFmtId="0" fontId="0" fillId="10" borderId="51" xfId="0" applyFill="1" applyBorder="1" applyAlignment="1">
      <alignment horizontal="center" vertical="center" wrapText="1"/>
    </xf>
    <xf numFmtId="0" fontId="0" fillId="2" borderId="11" xfId="0" applyFill="1" applyBorder="1" applyAlignment="1">
      <alignment horizontal="center" vertical="center"/>
    </xf>
    <xf numFmtId="0" fontId="0" fillId="2" borderId="26" xfId="0" applyFill="1" applyBorder="1" applyAlignment="1">
      <alignment horizontal="center" vertical="center" wrapText="1"/>
    </xf>
    <xf numFmtId="0" fontId="0" fillId="2" borderId="12" xfId="0" applyFill="1" applyBorder="1" applyAlignment="1">
      <alignment horizontal="center" vertical="center"/>
    </xf>
    <xf numFmtId="0" fontId="0" fillId="2" borderId="6" xfId="0" applyFill="1" applyBorder="1" applyAlignment="1">
      <alignment horizontal="center" vertical="center"/>
    </xf>
    <xf numFmtId="0" fontId="0" fillId="2" borderId="1" xfId="0" applyFill="1" applyBorder="1" applyAlignment="1">
      <alignment horizontal="center" vertical="center" wrapText="1"/>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2" borderId="44" xfId="0" applyFill="1" applyBorder="1" applyAlignment="1">
      <alignment horizontal="center" vertical="center" wrapText="1"/>
    </xf>
    <xf numFmtId="0" fontId="0" fillId="2" borderId="15" xfId="0" applyFill="1" applyBorder="1" applyAlignment="1">
      <alignment horizontal="center" vertical="center"/>
    </xf>
    <xf numFmtId="0" fontId="0" fillId="0" borderId="24" xfId="0" applyBorder="1" applyAlignment="1">
      <alignment vertical="center" wrapText="1"/>
    </xf>
    <xf numFmtId="0" fontId="0" fillId="4" borderId="24" xfId="0" applyFill="1" applyBorder="1" applyAlignment="1">
      <alignment wrapText="1"/>
    </xf>
    <xf numFmtId="0" fontId="1" fillId="2" borderId="0" xfId="0" applyFont="1" applyFill="1" applyAlignment="1">
      <alignment vertical="center" textRotation="90" wrapText="1"/>
    </xf>
    <xf numFmtId="0" fontId="0" fillId="0" borderId="12" xfId="0" applyBorder="1" applyAlignment="1">
      <alignment horizontal="center" vertical="center" wrapText="1"/>
    </xf>
    <xf numFmtId="0" fontId="0" fillId="4" borderId="13" xfId="0" applyFill="1" applyBorder="1" applyAlignment="1">
      <alignment vertical="center" wrapText="1"/>
    </xf>
    <xf numFmtId="0" fontId="0" fillId="4" borderId="13" xfId="0" applyFill="1" applyBorder="1" applyAlignment="1">
      <alignment wrapText="1"/>
    </xf>
    <xf numFmtId="0" fontId="0" fillId="0" borderId="13" xfId="0" applyBorder="1" applyAlignment="1">
      <alignment horizontal="center" vertical="center" wrapText="1"/>
    </xf>
    <xf numFmtId="0" fontId="0" fillId="0" borderId="44" xfId="0" applyBorder="1" applyAlignment="1">
      <alignment vertical="center" wrapText="1"/>
    </xf>
    <xf numFmtId="0" fontId="0" fillId="4" borderId="15" xfId="0" applyFill="1" applyBorder="1" applyAlignment="1">
      <alignment wrapText="1"/>
    </xf>
    <xf numFmtId="0" fontId="0" fillId="2" borderId="0" xfId="0" applyFill="1" applyAlignment="1">
      <alignment horizontal="right" vertical="center" wrapText="1"/>
    </xf>
    <xf numFmtId="0" fontId="0" fillId="2" borderId="0" xfId="0" applyFill="1" applyAlignment="1">
      <alignment horizontal="center" vertical="center" wrapText="1"/>
    </xf>
    <xf numFmtId="0" fontId="11" fillId="2" borderId="0" xfId="0" applyFont="1" applyFill="1" applyAlignment="1">
      <alignment horizontal="center" vertical="center" wrapText="1"/>
    </xf>
    <xf numFmtId="0" fontId="2" fillId="6" borderId="20" xfId="0" applyFont="1" applyFill="1" applyBorder="1" applyAlignment="1">
      <alignment vertical="center" textRotation="90" wrapText="1"/>
    </xf>
    <xf numFmtId="0" fontId="0" fillId="2" borderId="16" xfId="0" applyFill="1" applyBorder="1" applyAlignment="1">
      <alignment horizontal="right" vertical="center" wrapText="1"/>
    </xf>
    <xf numFmtId="0" fontId="1" fillId="4" borderId="20" xfId="0" applyFont="1" applyFill="1" applyBorder="1" applyAlignment="1">
      <alignment vertical="center" textRotation="90" wrapText="1"/>
    </xf>
    <xf numFmtId="0" fontId="1" fillId="4" borderId="21" xfId="0" applyFont="1" applyFill="1" applyBorder="1" applyAlignment="1">
      <alignment vertical="center" textRotation="90" wrapText="1"/>
    </xf>
    <xf numFmtId="0" fontId="1" fillId="4" borderId="50" xfId="0" applyFont="1" applyFill="1" applyBorder="1" applyAlignment="1">
      <alignment vertical="center" textRotation="90" wrapText="1"/>
    </xf>
    <xf numFmtId="0" fontId="11" fillId="0" borderId="67" xfId="0" applyFont="1" applyBorder="1" applyAlignment="1">
      <alignment horizontal="center" vertical="center" wrapText="1"/>
    </xf>
    <xf numFmtId="0" fontId="2" fillId="5" borderId="21" xfId="0" applyFont="1" applyFill="1" applyBorder="1" applyAlignment="1">
      <alignment horizontal="center" vertical="center" wrapText="1"/>
    </xf>
    <xf numFmtId="0" fontId="0" fillId="2" borderId="2" xfId="0" applyFill="1" applyBorder="1" applyAlignment="1">
      <alignment horizontal="left" vertical="top" wrapText="1"/>
    </xf>
    <xf numFmtId="0" fontId="0" fillId="0" borderId="35" xfId="0" applyBorder="1"/>
    <xf numFmtId="0" fontId="0" fillId="0" borderId="45" xfId="0" applyBorder="1"/>
    <xf numFmtId="0" fontId="0" fillId="0" borderId="21" xfId="0" applyBorder="1"/>
    <xf numFmtId="0" fontId="0" fillId="2" borderId="0" xfId="0" applyFill="1"/>
    <xf numFmtId="0" fontId="0" fillId="0" borderId="29" xfId="0" applyBorder="1"/>
    <xf numFmtId="0" fontId="0" fillId="0" borderId="50" xfId="0" applyBorder="1"/>
    <xf numFmtId="0" fontId="0" fillId="0" borderId="31" xfId="0" applyBorder="1"/>
    <xf numFmtId="0" fontId="0" fillId="0" borderId="51" xfId="0" applyBorder="1"/>
    <xf numFmtId="0" fontId="2" fillId="0" borderId="32" xfId="0" applyFont="1" applyBorder="1" applyAlignment="1">
      <alignment horizontal="center" vertical="center"/>
    </xf>
    <xf numFmtId="0" fontId="2" fillId="3" borderId="32" xfId="0" applyFont="1" applyFill="1" applyBorder="1" applyAlignment="1">
      <alignment horizontal="center" vertical="center"/>
    </xf>
    <xf numFmtId="0" fontId="2" fillId="9" borderId="7" xfId="0" applyFont="1" applyFill="1" applyBorder="1" applyAlignment="1">
      <alignment horizontal="center" vertical="center" wrapText="1"/>
    </xf>
    <xf numFmtId="0" fontId="0" fillId="0" borderId="18" xfId="0" applyBorder="1"/>
    <xf numFmtId="0" fontId="0" fillId="0" borderId="19" xfId="0" applyBorder="1"/>
    <xf numFmtId="0" fontId="2" fillId="7" borderId="32" xfId="0" applyFont="1" applyFill="1" applyBorder="1" applyAlignment="1">
      <alignment horizontal="center" vertical="center" wrapText="1"/>
    </xf>
    <xf numFmtId="0" fontId="2" fillId="6" borderId="20" xfId="0" applyFont="1" applyFill="1" applyBorder="1" applyAlignment="1">
      <alignment horizontal="center" vertical="center" wrapText="1"/>
    </xf>
    <xf numFmtId="0" fontId="2" fillId="6" borderId="21" xfId="0" applyFont="1" applyFill="1" applyBorder="1" applyAlignment="1">
      <alignment horizontal="center" vertical="center" wrapText="1"/>
    </xf>
    <xf numFmtId="0" fontId="2" fillId="6" borderId="50" xfId="0" applyFont="1" applyFill="1" applyBorder="1" applyAlignment="1">
      <alignment horizontal="center" vertical="center" wrapText="1"/>
    </xf>
    <xf numFmtId="0" fontId="2" fillId="6" borderId="16" xfId="0" applyFont="1" applyFill="1" applyBorder="1" applyAlignment="1">
      <alignment horizontal="center" vertical="center" wrapText="1"/>
    </xf>
    <xf numFmtId="0" fontId="2" fillId="6" borderId="19" xfId="0" applyFont="1" applyFill="1" applyBorder="1" applyAlignment="1">
      <alignment horizontal="center" vertical="center" wrapText="1"/>
    </xf>
    <xf numFmtId="0" fontId="3" fillId="4" borderId="16" xfId="0" applyFont="1" applyFill="1" applyBorder="1" applyAlignment="1">
      <alignment horizontal="center" vertical="center" textRotation="90"/>
    </xf>
    <xf numFmtId="0" fontId="3" fillId="4" borderId="18" xfId="0" applyFont="1" applyFill="1" applyBorder="1" applyAlignment="1">
      <alignment horizontal="center" vertical="center" textRotation="90"/>
    </xf>
    <xf numFmtId="0" fontId="3" fillId="4" borderId="19" xfId="0" applyFont="1" applyFill="1" applyBorder="1" applyAlignment="1">
      <alignment horizontal="center" vertical="center" textRotation="90"/>
    </xf>
    <xf numFmtId="0" fontId="3" fillId="4" borderId="20" xfId="0" applyFont="1" applyFill="1" applyBorder="1" applyAlignment="1">
      <alignment horizontal="center"/>
    </xf>
    <xf numFmtId="0" fontId="3" fillId="4" borderId="35" xfId="0" applyFont="1" applyFill="1" applyBorder="1" applyAlignment="1">
      <alignment horizontal="center"/>
    </xf>
    <xf numFmtId="0" fontId="0" fillId="3" borderId="32" xfId="0" applyFill="1" applyBorder="1" applyAlignment="1">
      <alignment horizontal="center" vertical="center" textRotation="90"/>
    </xf>
    <xf numFmtId="0" fontId="2" fillId="2" borderId="0" xfId="0" applyFont="1" applyFill="1" applyAlignment="1">
      <alignment horizontal="center"/>
    </xf>
    <xf numFmtId="0" fontId="3" fillId="4" borderId="0" xfId="0" applyFont="1" applyFill="1" applyAlignment="1">
      <alignment horizontal="center" vertical="center" wrapText="1"/>
    </xf>
    <xf numFmtId="0" fontId="0" fillId="9" borderId="33" xfId="0" applyFill="1" applyBorder="1" applyAlignment="1">
      <alignment horizontal="center" vertical="center" textRotation="90" wrapText="1"/>
    </xf>
    <xf numFmtId="0" fontId="0" fillId="0" borderId="61" xfId="0" applyBorder="1"/>
    <xf numFmtId="0" fontId="0" fillId="7" borderId="32" xfId="0" applyFill="1" applyBorder="1" applyAlignment="1">
      <alignment horizontal="center" vertical="center" wrapText="1"/>
    </xf>
    <xf numFmtId="0" fontId="0" fillId="0" borderId="16" xfId="0" applyBorder="1" applyAlignment="1">
      <alignment horizontal="center" vertical="center" textRotation="90"/>
    </xf>
    <xf numFmtId="0" fontId="0" fillId="0" borderId="18" xfId="0" applyBorder="1" applyAlignment="1">
      <alignment horizontal="center" vertical="center" textRotation="90"/>
    </xf>
    <xf numFmtId="0" fontId="0" fillId="0" borderId="19" xfId="0" applyBorder="1" applyAlignment="1">
      <alignment horizontal="center" vertical="center" textRotation="90"/>
    </xf>
    <xf numFmtId="0" fontId="0" fillId="6" borderId="18" xfId="0" applyFill="1" applyBorder="1" applyAlignment="1">
      <alignment horizontal="center" vertical="center" textRotation="90" wrapText="1"/>
    </xf>
    <xf numFmtId="0" fontId="0" fillId="6" borderId="16" xfId="0" applyFill="1" applyBorder="1" applyAlignment="1">
      <alignment horizontal="center" vertical="center" textRotation="90" wrapText="1"/>
    </xf>
    <xf numFmtId="0" fontId="0" fillId="6" borderId="19" xfId="0" applyFill="1" applyBorder="1" applyAlignment="1">
      <alignment horizontal="center" vertical="center" textRotation="90" wrapText="1"/>
    </xf>
    <xf numFmtId="0" fontId="6" fillId="0" borderId="1" xfId="0" applyFont="1" applyBorder="1" applyAlignment="1">
      <alignment horizontal="center" vertical="center" wrapText="1"/>
    </xf>
    <xf numFmtId="0" fontId="0" fillId="0" borderId="55" xfId="0" applyBorder="1"/>
    <xf numFmtId="0" fontId="0" fillId="0" borderId="6" xfId="0" applyBorder="1"/>
    <xf numFmtId="0" fontId="0" fillId="2" borderId="1" xfId="0" applyFill="1" applyBorder="1" applyAlignment="1">
      <alignment horizontal="center" vertical="center" wrapText="1"/>
    </xf>
    <xf numFmtId="0" fontId="0" fillId="0" borderId="63" xfId="0" applyBorder="1"/>
    <xf numFmtId="0" fontId="0" fillId="0" borderId="3" xfId="0" applyBorder="1"/>
    <xf numFmtId="0" fontId="0" fillId="2" borderId="1" xfId="0" applyFill="1" applyBorder="1" applyAlignment="1">
      <alignment horizontal="right" vertical="center" wrapText="1"/>
    </xf>
    <xf numFmtId="0" fontId="2" fillId="5" borderId="24" xfId="0" applyFont="1" applyFill="1" applyBorder="1" applyAlignment="1">
      <alignment horizontal="center" vertical="center" textRotation="90" wrapText="1"/>
    </xf>
    <xf numFmtId="0" fontId="2" fillId="5" borderId="63" xfId="0" applyFont="1" applyFill="1" applyBorder="1" applyAlignment="1">
      <alignment horizontal="center" vertical="center" textRotation="90" wrapText="1"/>
    </xf>
    <xf numFmtId="0" fontId="0" fillId="2" borderId="0" xfId="0" applyFill="1" applyAlignment="1">
      <alignment horizontal="center" vertical="center" wrapText="1"/>
    </xf>
    <xf numFmtId="0" fontId="2" fillId="3" borderId="1" xfId="0" applyFont="1" applyFill="1" applyBorder="1" applyAlignment="1">
      <alignment horizontal="center" vertical="center" textRotation="90"/>
    </xf>
    <xf numFmtId="0" fontId="2" fillId="6" borderId="24" xfId="0" applyFont="1" applyFill="1" applyBorder="1" applyAlignment="1">
      <alignment horizontal="center" vertical="center" textRotation="90" wrapText="1"/>
    </xf>
    <xf numFmtId="0" fontId="2" fillId="6" borderId="63" xfId="0" applyFont="1" applyFill="1" applyBorder="1" applyAlignment="1">
      <alignment horizontal="center" vertical="center" textRotation="90" wrapText="1"/>
    </xf>
    <xf numFmtId="0" fontId="2" fillId="6" borderId="3" xfId="0" applyFont="1" applyFill="1" applyBorder="1" applyAlignment="1">
      <alignment horizontal="center" vertical="center" textRotation="90" wrapText="1"/>
    </xf>
    <xf numFmtId="0" fontId="2" fillId="2" borderId="38" xfId="0" applyFont="1" applyFill="1" applyBorder="1" applyAlignment="1">
      <alignment horizontal="center" vertical="center" textRotation="90"/>
    </xf>
    <xf numFmtId="0" fontId="2" fillId="2" borderId="56" xfId="0" applyFont="1" applyFill="1" applyBorder="1" applyAlignment="1">
      <alignment horizontal="center" vertical="center" textRotation="90"/>
    </xf>
    <xf numFmtId="0" fontId="2" fillId="2" borderId="57" xfId="0" applyFont="1" applyFill="1" applyBorder="1" applyAlignment="1">
      <alignment horizontal="center" vertical="center" textRotation="90"/>
    </xf>
    <xf numFmtId="0" fontId="2" fillId="9" borderId="1" xfId="0" applyFont="1" applyFill="1" applyBorder="1" applyAlignment="1">
      <alignment horizontal="center" vertical="center" textRotation="90" wrapText="1"/>
    </xf>
    <xf numFmtId="0" fontId="0" fillId="2" borderId="26" xfId="0" applyFill="1" applyBorder="1" applyAlignment="1">
      <alignment horizontal="center" vertical="center" wrapText="1"/>
    </xf>
    <xf numFmtId="0" fontId="0" fillId="0" borderId="53" xfId="0" applyBorder="1"/>
    <xf numFmtId="0" fontId="0" fillId="2" borderId="0" xfId="0" applyFill="1" applyAlignment="1">
      <alignment wrapText="1"/>
    </xf>
    <xf numFmtId="0" fontId="2" fillId="2" borderId="0" xfId="0" applyFont="1" applyFill="1" applyAlignment="1">
      <alignment horizontal="center" wrapText="1"/>
    </xf>
    <xf numFmtId="0" fontId="1" fillId="4" borderId="20" xfId="0" applyFont="1" applyFill="1" applyBorder="1" applyAlignment="1">
      <alignment horizontal="center"/>
    </xf>
    <xf numFmtId="0" fontId="1" fillId="4" borderId="3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6" borderId="16" xfId="0" applyFont="1" applyFill="1" applyBorder="1" applyAlignment="1">
      <alignment horizontal="center" vertical="center" textRotation="90" wrapText="1"/>
    </xf>
    <xf numFmtId="0" fontId="2" fillId="6" borderId="19" xfId="0" applyFont="1" applyFill="1" applyBorder="1" applyAlignment="1">
      <alignment horizontal="center" vertical="center" textRotation="90" wrapText="1"/>
    </xf>
    <xf numFmtId="0" fontId="2" fillId="2" borderId="16" xfId="0" applyFont="1" applyFill="1" applyBorder="1" applyAlignment="1">
      <alignment horizontal="center" vertical="center" textRotation="90"/>
    </xf>
    <xf numFmtId="0" fontId="2" fillId="2" borderId="18" xfId="0" applyFont="1" applyFill="1" applyBorder="1" applyAlignment="1">
      <alignment horizontal="center" vertical="center" textRotation="90"/>
    </xf>
    <xf numFmtId="0" fontId="2" fillId="2" borderId="19" xfId="0" applyFont="1" applyFill="1" applyBorder="1" applyAlignment="1">
      <alignment horizontal="center" vertical="center" textRotation="90"/>
    </xf>
    <xf numFmtId="0" fontId="1" fillId="4" borderId="21" xfId="0" applyFont="1" applyFill="1" applyBorder="1" applyAlignment="1">
      <alignment horizontal="center" vertical="center" wrapText="1"/>
    </xf>
    <xf numFmtId="0" fontId="0" fillId="0" borderId="0" xfId="0"/>
    <xf numFmtId="0" fontId="4" fillId="7" borderId="4" xfId="0" applyFont="1" applyFill="1" applyBorder="1" applyAlignment="1">
      <alignment horizontal="center" vertical="center" textRotation="90" wrapText="1"/>
    </xf>
    <xf numFmtId="0" fontId="0" fillId="0" borderId="56" xfId="0" applyBorder="1"/>
    <xf numFmtId="0" fontId="0" fillId="0" borderId="57" xfId="0" applyBorder="1"/>
    <xf numFmtId="0" fontId="2" fillId="9" borderId="33" xfId="0" applyFont="1" applyFill="1" applyBorder="1" applyAlignment="1">
      <alignment horizontal="center" vertical="center" textRotation="90" wrapText="1"/>
    </xf>
    <xf numFmtId="0" fontId="2" fillId="3" borderId="32" xfId="0" applyFont="1" applyFill="1" applyBorder="1" applyAlignment="1">
      <alignment horizontal="center" vertical="center" textRotation="90"/>
    </xf>
    <xf numFmtId="0" fontId="2" fillId="6" borderId="18" xfId="0" applyFont="1" applyFill="1" applyBorder="1" applyAlignment="1">
      <alignment horizontal="center" vertical="center" textRotation="90"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171450</xdr:rowOff>
    </xdr:from>
    <xdr:to>
      <xdr:col>11</xdr:col>
      <xdr:colOff>1021234</xdr:colOff>
      <xdr:row>27</xdr:row>
      <xdr:rowOff>114300</xdr:rowOff>
    </xdr:to>
    <xdr:pic>
      <xdr:nvPicPr>
        <xdr:cNvPr id="4" name="Picture 3">
          <a:extLst>
            <a:ext uri="{FF2B5EF4-FFF2-40B4-BE49-F238E27FC236}">
              <a16:creationId xmlns:a16="http://schemas.microsoft.com/office/drawing/2014/main" id="{92375ADF-6D0D-29D6-1811-43952786291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71475"/>
          <a:ext cx="7726834" cy="49720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
  <sheetViews>
    <sheetView workbookViewId="0">
      <selection activeCell="B5" sqref="B5"/>
    </sheetView>
  </sheetViews>
  <sheetFormatPr defaultColWidth="8.85546875" defaultRowHeight="15" x14ac:dyDescent="0.25"/>
  <sheetData>
    <row r="1" spans="1:2" x14ac:dyDescent="0.25">
      <c r="A1" t="s">
        <v>0</v>
      </c>
      <c r="B1" t="s">
        <v>1</v>
      </c>
    </row>
    <row r="2" spans="1:2" x14ac:dyDescent="0.25">
      <c r="A2" t="s">
        <v>2</v>
      </c>
      <c r="B2" t="s">
        <v>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D19"/>
  <sheetViews>
    <sheetView workbookViewId="0">
      <selection activeCell="A20" sqref="A20"/>
    </sheetView>
  </sheetViews>
  <sheetFormatPr defaultColWidth="9.140625" defaultRowHeight="15" x14ac:dyDescent="0.25"/>
  <cols>
    <col min="1" max="3" width="9.140625" style="1" customWidth="1"/>
    <col min="4" max="4" width="66.7109375" style="1" customWidth="1"/>
    <col min="5" max="6" width="9.140625" style="1" customWidth="1"/>
    <col min="7" max="16384" width="9.140625" style="1"/>
  </cols>
  <sheetData>
    <row r="3" spans="2:4" ht="21.95" customHeight="1" x14ac:dyDescent="0.35">
      <c r="B3" s="10" t="s">
        <v>4</v>
      </c>
    </row>
    <row r="4" spans="2:4" ht="15.95" customHeight="1" thickBot="1" x14ac:dyDescent="0.3"/>
    <row r="5" spans="2:4" ht="15.95" customHeight="1" thickBot="1" x14ac:dyDescent="0.3">
      <c r="C5" s="11" t="s">
        <v>5</v>
      </c>
      <c r="D5" s="12"/>
    </row>
    <row r="6" spans="2:4" ht="15.95" customHeight="1" thickBot="1" x14ac:dyDescent="0.3"/>
    <row r="7" spans="2:4" ht="112.5" customHeight="1" thickBot="1" x14ac:dyDescent="0.3">
      <c r="C7" s="13" t="s">
        <v>6</v>
      </c>
      <c r="D7" s="12"/>
    </row>
    <row r="9" spans="2:4" ht="21.95" customHeight="1" x14ac:dyDescent="0.35">
      <c r="B9" s="10" t="s">
        <v>7</v>
      </c>
    </row>
    <row r="10" spans="2:4" ht="15.95" customHeight="1" thickBot="1" x14ac:dyDescent="0.3"/>
    <row r="11" spans="2:4" ht="70.5" customHeight="1" thickBot="1" x14ac:dyDescent="0.3">
      <c r="C11" s="13" t="s">
        <v>8</v>
      </c>
      <c r="D11" s="12"/>
    </row>
    <row r="13" spans="2:4" ht="21.95" customHeight="1" x14ac:dyDescent="0.35">
      <c r="B13" s="10" t="s">
        <v>9</v>
      </c>
    </row>
    <row r="14" spans="2:4" ht="15.95" customHeight="1" thickBot="1" x14ac:dyDescent="0.3"/>
    <row r="15" spans="2:4" ht="15.95" customHeight="1" thickBot="1" x14ac:dyDescent="0.3">
      <c r="C15" s="11" t="s">
        <v>10</v>
      </c>
      <c r="D15" s="12"/>
    </row>
    <row r="16" spans="2:4" ht="15.95" customHeight="1" thickBot="1" x14ac:dyDescent="0.3"/>
    <row r="17" spans="3:4" ht="15.95" customHeight="1" thickBot="1" x14ac:dyDescent="0.3">
      <c r="C17" s="11" t="s">
        <v>11</v>
      </c>
      <c r="D17" s="12"/>
    </row>
    <row r="18" spans="3:4" ht="15.95" customHeight="1" thickBot="1" x14ac:dyDescent="0.3"/>
    <row r="19" spans="3:4" ht="15.95" customHeight="1" thickBot="1" x14ac:dyDescent="0.3">
      <c r="C19" s="11" t="s">
        <v>12</v>
      </c>
      <c r="D19" s="1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B2:B20"/>
  <sheetViews>
    <sheetView workbookViewId="0">
      <selection activeCell="D25" sqref="D25"/>
    </sheetView>
  </sheetViews>
  <sheetFormatPr defaultColWidth="9.140625" defaultRowHeight="15" x14ac:dyDescent="0.25"/>
  <cols>
    <col min="1" max="2" width="9.140625" style="1" customWidth="1"/>
    <col min="3" max="16384" width="9.140625" style="1"/>
  </cols>
  <sheetData>
    <row r="2" spans="2:2" x14ac:dyDescent="0.25">
      <c r="B2" s="1" t="s">
        <v>13</v>
      </c>
    </row>
    <row r="3" spans="2:2" x14ac:dyDescent="0.25">
      <c r="B3" s="1" t="s">
        <v>14</v>
      </c>
    </row>
    <row r="4" spans="2:2" x14ac:dyDescent="0.25">
      <c r="B4" s="1" t="s">
        <v>15</v>
      </c>
    </row>
    <row r="5" spans="2:2" x14ac:dyDescent="0.25">
      <c r="B5" s="1" t="s">
        <v>16</v>
      </c>
    </row>
    <row r="6" spans="2:2" x14ac:dyDescent="0.25">
      <c r="B6" s="1" t="s">
        <v>17</v>
      </c>
    </row>
    <row r="7" spans="2:2" x14ac:dyDescent="0.25">
      <c r="B7" s="1" t="s">
        <v>18</v>
      </c>
    </row>
    <row r="8" spans="2:2" x14ac:dyDescent="0.25">
      <c r="B8" s="1" t="s">
        <v>19</v>
      </c>
    </row>
    <row r="9" spans="2:2" x14ac:dyDescent="0.25">
      <c r="B9" s="1" t="s">
        <v>20</v>
      </c>
    </row>
    <row r="10" spans="2:2" x14ac:dyDescent="0.25">
      <c r="B10" s="1" t="s">
        <v>21</v>
      </c>
    </row>
    <row r="11" spans="2:2" x14ac:dyDescent="0.25">
      <c r="B11" s="1" t="s">
        <v>22</v>
      </c>
    </row>
    <row r="12" spans="2:2" x14ac:dyDescent="0.25">
      <c r="B12" s="1" t="s">
        <v>23</v>
      </c>
    </row>
    <row r="13" spans="2:2" x14ac:dyDescent="0.25">
      <c r="B13" s="1" t="s">
        <v>24</v>
      </c>
    </row>
    <row r="14" spans="2:2" x14ac:dyDescent="0.25">
      <c r="B14" s="1" t="s">
        <v>25</v>
      </c>
    </row>
    <row r="15" spans="2:2" x14ac:dyDescent="0.25">
      <c r="B15" s="1" t="s">
        <v>26</v>
      </c>
    </row>
    <row r="16" spans="2:2" x14ac:dyDescent="0.25">
      <c r="B16" s="1" t="s">
        <v>27</v>
      </c>
    </row>
    <row r="17" spans="2:2" x14ac:dyDescent="0.25">
      <c r="B17" s="1" t="s">
        <v>28</v>
      </c>
    </row>
    <row r="18" spans="2:2" x14ac:dyDescent="0.25">
      <c r="B18" s="1" t="s">
        <v>29</v>
      </c>
    </row>
    <row r="19" spans="2:2" x14ac:dyDescent="0.25">
      <c r="B19" s="1" t="s">
        <v>30</v>
      </c>
    </row>
    <row r="20" spans="2:2" x14ac:dyDescent="0.25">
      <c r="B20" s="1" t="s">
        <v>31</v>
      </c>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M1:X57"/>
  <sheetViews>
    <sheetView tabSelected="1" zoomScaleNormal="100" workbookViewId="0">
      <selection activeCell="A2" sqref="A2"/>
    </sheetView>
  </sheetViews>
  <sheetFormatPr defaultColWidth="9.140625" defaultRowHeight="15" x14ac:dyDescent="0.25"/>
  <cols>
    <col min="1" max="11" width="9.140625" style="1" customWidth="1"/>
    <col min="12" max="12" width="17" style="1" customWidth="1"/>
    <col min="13" max="13" width="49.28515625" style="1" customWidth="1"/>
    <col min="14" max="14" width="3.7109375" style="1" customWidth="1"/>
    <col min="15" max="15" width="57.7109375" style="1" customWidth="1"/>
    <col min="16" max="16" width="23.28515625" style="1" customWidth="1"/>
    <col min="17" max="18" width="9.140625" style="1" customWidth="1"/>
    <col min="19" max="16384" width="9.140625" style="1"/>
  </cols>
  <sheetData>
    <row r="1" spans="13:24" ht="15.95" customHeight="1" thickBot="1" x14ac:dyDescent="0.3">
      <c r="M1" s="3" t="s">
        <v>32</v>
      </c>
      <c r="N1" s="2" t="s">
        <v>33</v>
      </c>
      <c r="O1" s="74" t="s">
        <v>34</v>
      </c>
      <c r="P1" s="87" t="s">
        <v>35</v>
      </c>
      <c r="R1" s="9" t="s">
        <v>36</v>
      </c>
    </row>
    <row r="2" spans="13:24" ht="15.75" thickBot="1" x14ac:dyDescent="0.3">
      <c r="M2" s="204" t="s">
        <v>37</v>
      </c>
      <c r="N2" s="45">
        <v>1</v>
      </c>
      <c r="O2" s="75" t="s">
        <v>71</v>
      </c>
      <c r="P2" s="88" t="s">
        <v>0</v>
      </c>
      <c r="R2" s="190" t="s">
        <v>265</v>
      </c>
      <c r="S2" s="191"/>
      <c r="T2" s="191"/>
      <c r="U2" s="191"/>
      <c r="V2" s="191"/>
      <c r="W2" s="191"/>
      <c r="X2" s="192"/>
    </row>
    <row r="3" spans="13:24" x14ac:dyDescent="0.25">
      <c r="M3" s="193"/>
      <c r="N3" s="46"/>
      <c r="O3" s="76" t="s">
        <v>72</v>
      </c>
      <c r="P3" s="84" t="s">
        <v>0</v>
      </c>
      <c r="R3" s="193"/>
      <c r="S3" s="194"/>
      <c r="T3" s="194"/>
      <c r="U3" s="194"/>
      <c r="V3" s="194"/>
      <c r="W3" s="194"/>
      <c r="X3" s="195"/>
    </row>
    <row r="4" spans="13:24" x14ac:dyDescent="0.25">
      <c r="M4" s="193"/>
      <c r="N4" s="47"/>
      <c r="O4" s="77" t="s">
        <v>73</v>
      </c>
      <c r="P4" s="84" t="s">
        <v>0</v>
      </c>
      <c r="R4" s="193"/>
      <c r="S4" s="194"/>
      <c r="T4" s="194"/>
      <c r="U4" s="194"/>
      <c r="V4" s="194"/>
      <c r="W4" s="194"/>
      <c r="X4" s="195"/>
    </row>
    <row r="5" spans="13:24" x14ac:dyDescent="0.25">
      <c r="M5" s="193"/>
      <c r="N5" s="47"/>
      <c r="O5" s="77" t="s">
        <v>74</v>
      </c>
      <c r="P5" s="84" t="s">
        <v>0</v>
      </c>
      <c r="R5" s="193"/>
      <c r="S5" s="194"/>
      <c r="T5" s="194"/>
      <c r="U5" s="194"/>
      <c r="V5" s="194"/>
      <c r="W5" s="194"/>
      <c r="X5" s="195"/>
    </row>
    <row r="6" spans="13:24" x14ac:dyDescent="0.25">
      <c r="M6" s="193"/>
      <c r="N6" s="46"/>
      <c r="O6" s="77" t="s">
        <v>75</v>
      </c>
      <c r="P6" s="84" t="s">
        <v>0</v>
      </c>
      <c r="R6" s="193"/>
      <c r="S6" s="194"/>
      <c r="T6" s="194"/>
      <c r="U6" s="194"/>
      <c r="V6" s="194"/>
      <c r="W6" s="194"/>
      <c r="X6" s="195"/>
    </row>
    <row r="7" spans="13:24" ht="15.95" customHeight="1" thickBot="1" x14ac:dyDescent="0.3">
      <c r="M7" s="196"/>
      <c r="N7" s="44"/>
      <c r="O7" s="78" t="s">
        <v>76</v>
      </c>
      <c r="P7" s="85" t="s">
        <v>0</v>
      </c>
      <c r="R7" s="193"/>
      <c r="S7" s="194"/>
      <c r="T7" s="194"/>
      <c r="U7" s="194"/>
      <c r="V7" s="194"/>
      <c r="W7" s="194"/>
      <c r="X7" s="195"/>
    </row>
    <row r="8" spans="13:24" x14ac:dyDescent="0.25">
      <c r="M8" s="201" t="s">
        <v>38</v>
      </c>
      <c r="N8" s="91">
        <v>2</v>
      </c>
      <c r="O8" s="75" t="s">
        <v>77</v>
      </c>
      <c r="P8" s="88" t="s">
        <v>0</v>
      </c>
      <c r="R8" s="193"/>
      <c r="S8" s="194"/>
      <c r="T8" s="194"/>
      <c r="U8" s="194"/>
      <c r="V8" s="194"/>
      <c r="W8" s="194"/>
      <c r="X8" s="195"/>
    </row>
    <row r="9" spans="13:24" x14ac:dyDescent="0.25">
      <c r="M9" s="202"/>
      <c r="N9" s="48"/>
      <c r="O9" s="79" t="s">
        <v>78</v>
      </c>
      <c r="P9" s="84" t="s">
        <v>0</v>
      </c>
      <c r="R9" s="193"/>
      <c r="S9" s="194"/>
      <c r="T9" s="194"/>
      <c r="U9" s="194"/>
      <c r="V9" s="194"/>
      <c r="W9" s="194"/>
      <c r="X9" s="195"/>
    </row>
    <row r="10" spans="13:24" x14ac:dyDescent="0.25">
      <c r="M10" s="202"/>
      <c r="N10" s="48"/>
      <c r="O10" s="79" t="s">
        <v>79</v>
      </c>
      <c r="P10" s="84" t="s">
        <v>0</v>
      </c>
      <c r="R10" s="193"/>
      <c r="S10" s="194"/>
      <c r="T10" s="194"/>
      <c r="U10" s="194"/>
      <c r="V10" s="194"/>
      <c r="W10" s="194"/>
      <c r="X10" s="195"/>
    </row>
    <row r="11" spans="13:24" x14ac:dyDescent="0.25">
      <c r="M11" s="202"/>
      <c r="N11" s="48"/>
      <c r="O11" s="79" t="s">
        <v>80</v>
      </c>
      <c r="P11" s="84" t="s">
        <v>0</v>
      </c>
      <c r="R11" s="193"/>
      <c r="S11" s="194"/>
      <c r="T11" s="194"/>
      <c r="U11" s="194"/>
      <c r="V11" s="194"/>
      <c r="W11" s="194"/>
      <c r="X11" s="195"/>
    </row>
    <row r="12" spans="13:24" x14ac:dyDescent="0.25">
      <c r="M12" s="202"/>
      <c r="N12" s="48"/>
      <c r="O12" s="79" t="s">
        <v>81</v>
      </c>
      <c r="P12" s="84" t="s">
        <v>0</v>
      </c>
      <c r="R12" s="193"/>
      <c r="S12" s="194"/>
      <c r="T12" s="194"/>
      <c r="U12" s="194"/>
      <c r="V12" s="194"/>
      <c r="W12" s="194"/>
      <c r="X12" s="195"/>
    </row>
    <row r="13" spans="13:24" x14ac:dyDescent="0.25">
      <c r="M13" s="202"/>
      <c r="N13" s="48"/>
      <c r="O13" s="79" t="s">
        <v>82</v>
      </c>
      <c r="P13" s="84" t="s">
        <v>0</v>
      </c>
      <c r="R13" s="193"/>
      <c r="S13" s="194"/>
      <c r="T13" s="194"/>
      <c r="U13" s="194"/>
      <c r="V13" s="194"/>
      <c r="W13" s="194"/>
      <c r="X13" s="195"/>
    </row>
    <row r="14" spans="13:24" x14ac:dyDescent="0.25">
      <c r="M14" s="202"/>
      <c r="N14" s="48"/>
      <c r="O14" s="79" t="s">
        <v>83</v>
      </c>
      <c r="P14" s="84" t="s">
        <v>0</v>
      </c>
      <c r="R14" s="193"/>
      <c r="S14" s="194"/>
      <c r="T14" s="194"/>
      <c r="U14" s="194"/>
      <c r="V14" s="194"/>
      <c r="W14" s="194"/>
      <c r="X14" s="195"/>
    </row>
    <row r="15" spans="13:24" x14ac:dyDescent="0.25">
      <c r="M15" s="202"/>
      <c r="N15" s="48"/>
      <c r="O15" s="79" t="s">
        <v>84</v>
      </c>
      <c r="P15" s="84" t="s">
        <v>0</v>
      </c>
      <c r="R15" s="193"/>
      <c r="S15" s="194"/>
      <c r="T15" s="194"/>
      <c r="U15" s="194"/>
      <c r="V15" s="194"/>
      <c r="W15" s="194"/>
      <c r="X15" s="195"/>
    </row>
    <row r="16" spans="13:24" x14ac:dyDescent="0.25">
      <c r="M16" s="202"/>
      <c r="N16" s="48"/>
      <c r="O16" s="79" t="s">
        <v>85</v>
      </c>
      <c r="P16" s="84" t="s">
        <v>0</v>
      </c>
      <c r="R16" s="193"/>
      <c r="S16" s="194"/>
      <c r="T16" s="194"/>
      <c r="U16" s="194"/>
      <c r="V16" s="194"/>
      <c r="W16" s="194"/>
      <c r="X16" s="195"/>
    </row>
    <row r="17" spans="13:24" x14ac:dyDescent="0.25">
      <c r="M17" s="202"/>
      <c r="N17" s="48"/>
      <c r="O17" s="79" t="s">
        <v>86</v>
      </c>
      <c r="P17" s="84" t="s">
        <v>0</v>
      </c>
      <c r="R17" s="193"/>
      <c r="S17" s="194"/>
      <c r="T17" s="194"/>
      <c r="U17" s="194"/>
      <c r="V17" s="194"/>
      <c r="W17" s="194"/>
      <c r="X17" s="195"/>
    </row>
    <row r="18" spans="13:24" ht="15.95" customHeight="1" thickBot="1" x14ac:dyDescent="0.3">
      <c r="M18" s="203"/>
      <c r="N18" s="92"/>
      <c r="O18" s="93" t="s">
        <v>87</v>
      </c>
      <c r="P18" s="85" t="s">
        <v>0</v>
      </c>
      <c r="R18" s="193"/>
      <c r="S18" s="194"/>
      <c r="T18" s="194"/>
      <c r="U18" s="194"/>
      <c r="V18" s="194"/>
      <c r="W18" s="194"/>
      <c r="X18" s="195"/>
    </row>
    <row r="19" spans="13:24" ht="15.75" thickBot="1" x14ac:dyDescent="0.3">
      <c r="M19" s="200" t="s">
        <v>39</v>
      </c>
      <c r="N19" s="45">
        <v>3</v>
      </c>
      <c r="O19" s="80" t="s">
        <v>88</v>
      </c>
      <c r="P19" s="88" t="s">
        <v>0</v>
      </c>
      <c r="R19" s="193"/>
      <c r="S19" s="194"/>
      <c r="T19" s="194"/>
      <c r="U19" s="194"/>
      <c r="V19" s="194"/>
      <c r="W19" s="194"/>
      <c r="X19" s="195"/>
    </row>
    <row r="20" spans="13:24" x14ac:dyDescent="0.25">
      <c r="M20" s="193"/>
      <c r="N20" s="46"/>
      <c r="O20" s="81" t="s">
        <v>89</v>
      </c>
      <c r="P20" s="84" t="s">
        <v>0</v>
      </c>
      <c r="R20" s="193"/>
      <c r="S20" s="194"/>
      <c r="T20" s="194"/>
      <c r="U20" s="194"/>
      <c r="V20" s="194"/>
      <c r="W20" s="194"/>
      <c r="X20" s="195"/>
    </row>
    <row r="21" spans="13:24" x14ac:dyDescent="0.25">
      <c r="M21" s="193"/>
      <c r="N21" s="46"/>
      <c r="O21" s="81" t="s">
        <v>90</v>
      </c>
      <c r="P21" s="84" t="s">
        <v>0</v>
      </c>
      <c r="R21" s="193"/>
      <c r="S21" s="194"/>
      <c r="T21" s="194"/>
      <c r="U21" s="194"/>
      <c r="V21" s="194"/>
      <c r="W21" s="194"/>
      <c r="X21" s="195"/>
    </row>
    <row r="22" spans="13:24" ht="15.75" thickBot="1" x14ac:dyDescent="0.3">
      <c r="M22" s="196"/>
      <c r="N22" s="44"/>
      <c r="O22" s="82" t="s">
        <v>40</v>
      </c>
      <c r="P22" s="85" t="s">
        <v>0</v>
      </c>
      <c r="R22" s="193"/>
      <c r="S22" s="194"/>
      <c r="T22" s="194"/>
      <c r="U22" s="194"/>
      <c r="V22" s="194"/>
      <c r="W22" s="194"/>
      <c r="X22" s="195"/>
    </row>
    <row r="23" spans="13:24" ht="15.75" customHeight="1" thickBot="1" x14ac:dyDescent="0.3">
      <c r="M23" s="189" t="s">
        <v>172</v>
      </c>
      <c r="N23" s="43">
        <v>4</v>
      </c>
      <c r="O23" s="83" t="s">
        <v>91</v>
      </c>
      <c r="P23" s="90" t="s">
        <v>0</v>
      </c>
      <c r="R23" s="193"/>
      <c r="S23" s="194"/>
      <c r="T23" s="194"/>
      <c r="U23" s="194"/>
      <c r="V23" s="194"/>
      <c r="W23" s="194"/>
      <c r="X23" s="195"/>
    </row>
    <row r="24" spans="13:24" ht="15.95" customHeight="1" x14ac:dyDescent="0.25">
      <c r="M24" s="205" t="s">
        <v>42</v>
      </c>
      <c r="N24" s="40">
        <v>5</v>
      </c>
      <c r="O24" s="62" t="s">
        <v>43</v>
      </c>
      <c r="P24" s="88" t="s">
        <v>0</v>
      </c>
      <c r="R24" s="193"/>
      <c r="S24" s="194"/>
      <c r="T24" s="194"/>
      <c r="U24" s="194"/>
      <c r="V24" s="194"/>
      <c r="W24" s="194"/>
      <c r="X24" s="195"/>
    </row>
    <row r="25" spans="13:24" x14ac:dyDescent="0.25">
      <c r="M25" s="206"/>
      <c r="N25" s="41"/>
      <c r="O25" s="60" t="s">
        <v>44</v>
      </c>
      <c r="P25" s="84" t="s">
        <v>0</v>
      </c>
      <c r="R25" s="193"/>
      <c r="S25" s="194"/>
      <c r="T25" s="194"/>
      <c r="U25" s="194"/>
      <c r="V25" s="194"/>
      <c r="W25" s="194"/>
      <c r="X25" s="195"/>
    </row>
    <row r="26" spans="13:24" ht="15.95" customHeight="1" thickBot="1" x14ac:dyDescent="0.3">
      <c r="M26" s="207"/>
      <c r="N26" s="49"/>
      <c r="O26" s="61" t="s">
        <v>45</v>
      </c>
      <c r="P26" s="85" t="s">
        <v>0</v>
      </c>
      <c r="R26" s="193"/>
      <c r="S26" s="194"/>
      <c r="T26" s="194"/>
      <c r="U26" s="194"/>
      <c r="V26" s="194"/>
      <c r="W26" s="194"/>
      <c r="X26" s="195"/>
    </row>
    <row r="27" spans="13:24" x14ac:dyDescent="0.25">
      <c r="M27" s="208" t="s">
        <v>46</v>
      </c>
      <c r="N27" s="40">
        <v>6</v>
      </c>
      <c r="O27" s="62" t="s">
        <v>47</v>
      </c>
      <c r="P27" s="88" t="s">
        <v>0</v>
      </c>
      <c r="R27" s="193"/>
      <c r="S27" s="194"/>
      <c r="T27" s="194"/>
      <c r="U27" s="194"/>
      <c r="V27" s="194"/>
      <c r="W27" s="194"/>
      <c r="X27" s="195"/>
    </row>
    <row r="28" spans="13:24" ht="15.95" customHeight="1" thickBot="1" x14ac:dyDescent="0.3">
      <c r="M28" s="209"/>
      <c r="N28" s="42"/>
      <c r="O28" s="61" t="s">
        <v>48</v>
      </c>
      <c r="P28" s="85" t="s">
        <v>0</v>
      </c>
      <c r="R28" s="193"/>
      <c r="S28" s="194"/>
      <c r="T28" s="194"/>
      <c r="U28" s="194"/>
      <c r="V28" s="194"/>
      <c r="W28" s="194"/>
      <c r="X28" s="195"/>
    </row>
    <row r="29" spans="13:24" ht="15.75" customHeight="1" thickBot="1" x14ac:dyDescent="0.3">
      <c r="M29" s="89" t="s">
        <v>173</v>
      </c>
      <c r="N29" s="70">
        <v>7</v>
      </c>
      <c r="O29" s="83" t="s">
        <v>50</v>
      </c>
      <c r="P29" s="90" t="s">
        <v>0</v>
      </c>
      <c r="R29" s="193"/>
      <c r="S29" s="194"/>
      <c r="T29" s="194"/>
      <c r="U29" s="194"/>
      <c r="V29" s="194"/>
      <c r="W29" s="194"/>
      <c r="X29" s="195"/>
    </row>
    <row r="30" spans="13:24" ht="15.75" thickBot="1" x14ac:dyDescent="0.3">
      <c r="M30" s="199" t="s">
        <v>92</v>
      </c>
      <c r="N30" s="45">
        <v>8</v>
      </c>
      <c r="O30" s="68" t="s">
        <v>93</v>
      </c>
      <c r="P30" s="88" t="s">
        <v>0</v>
      </c>
      <c r="R30" s="193"/>
      <c r="S30" s="194"/>
      <c r="T30" s="194"/>
      <c r="U30" s="194"/>
      <c r="V30" s="194"/>
      <c r="W30" s="194"/>
      <c r="X30" s="195"/>
    </row>
    <row r="31" spans="13:24" x14ac:dyDescent="0.25">
      <c r="M31" s="193"/>
      <c r="N31" s="46"/>
      <c r="O31" s="67" t="s">
        <v>93</v>
      </c>
      <c r="P31" s="84" t="s">
        <v>0</v>
      </c>
      <c r="R31" s="193"/>
      <c r="S31" s="194"/>
      <c r="T31" s="194"/>
      <c r="U31" s="194"/>
      <c r="V31" s="194"/>
      <c r="W31" s="194"/>
      <c r="X31" s="195"/>
    </row>
    <row r="32" spans="13:24" ht="15.75" thickBot="1" x14ac:dyDescent="0.3">
      <c r="M32" s="196"/>
      <c r="N32" s="44"/>
      <c r="O32" s="69" t="s">
        <v>93</v>
      </c>
      <c r="P32" s="85" t="s">
        <v>0</v>
      </c>
      <c r="R32" s="193"/>
      <c r="S32" s="194"/>
      <c r="T32" s="194"/>
      <c r="U32" s="194"/>
      <c r="V32" s="194"/>
      <c r="W32" s="194"/>
      <c r="X32" s="195"/>
    </row>
    <row r="33" spans="13:24" x14ac:dyDescent="0.25">
      <c r="N33" s="71"/>
      <c r="O33" s="53"/>
      <c r="P33" s="72"/>
      <c r="R33" s="193"/>
      <c r="S33" s="194"/>
      <c r="T33" s="194"/>
      <c r="U33" s="194"/>
      <c r="V33" s="194"/>
      <c r="W33" s="194"/>
      <c r="X33" s="195"/>
    </row>
    <row r="34" spans="13:24" x14ac:dyDescent="0.25">
      <c r="N34" s="71"/>
      <c r="O34" s="53"/>
      <c r="P34" s="72"/>
      <c r="R34" s="193"/>
      <c r="S34" s="194"/>
      <c r="T34" s="194"/>
      <c r="U34" s="194"/>
      <c r="V34" s="194"/>
      <c r="W34" s="194"/>
      <c r="X34" s="195"/>
    </row>
    <row r="35" spans="13:24" x14ac:dyDescent="0.25">
      <c r="N35" s="71"/>
      <c r="O35" s="53"/>
      <c r="P35" s="72"/>
      <c r="R35" s="193"/>
      <c r="S35" s="194"/>
      <c r="T35" s="194"/>
      <c r="U35" s="194"/>
      <c r="V35" s="194"/>
      <c r="W35" s="194"/>
      <c r="X35" s="195"/>
    </row>
    <row r="36" spans="13:24" x14ac:dyDescent="0.25">
      <c r="O36" s="53"/>
      <c r="P36" s="72"/>
      <c r="R36" s="193"/>
      <c r="S36" s="194"/>
      <c r="T36" s="194"/>
      <c r="U36" s="194"/>
      <c r="V36" s="194"/>
      <c r="W36" s="194"/>
      <c r="X36" s="195"/>
    </row>
    <row r="37" spans="13:24" x14ac:dyDescent="0.25">
      <c r="N37" s="71"/>
      <c r="O37" s="53"/>
      <c r="P37" s="72"/>
      <c r="R37" s="193"/>
      <c r="S37" s="194"/>
      <c r="T37" s="194"/>
      <c r="U37" s="194"/>
      <c r="V37" s="194"/>
      <c r="W37" s="194"/>
      <c r="X37" s="195"/>
    </row>
    <row r="38" spans="13:24" x14ac:dyDescent="0.25">
      <c r="N38" s="71"/>
      <c r="O38" s="53"/>
      <c r="P38" s="72"/>
      <c r="R38" s="193"/>
      <c r="S38" s="194"/>
      <c r="T38" s="194"/>
      <c r="U38" s="194"/>
      <c r="V38" s="194"/>
      <c r="W38" s="194"/>
      <c r="X38" s="195"/>
    </row>
    <row r="39" spans="13:24" x14ac:dyDescent="0.25">
      <c r="N39" s="71"/>
      <c r="O39" s="53"/>
      <c r="P39" s="72"/>
      <c r="R39" s="193"/>
      <c r="S39" s="194"/>
      <c r="T39" s="194"/>
      <c r="U39" s="194"/>
      <c r="V39" s="194"/>
      <c r="W39" s="194"/>
      <c r="X39" s="195"/>
    </row>
    <row r="40" spans="13:24" x14ac:dyDescent="0.25">
      <c r="N40" s="71"/>
      <c r="O40" s="53"/>
      <c r="P40" s="72"/>
      <c r="R40" s="193"/>
      <c r="S40" s="194"/>
      <c r="T40" s="194"/>
      <c r="U40" s="194"/>
      <c r="V40" s="194"/>
      <c r="W40" s="194"/>
      <c r="X40" s="195"/>
    </row>
    <row r="41" spans="13:24" ht="15.95" customHeight="1" x14ac:dyDescent="0.25">
      <c r="N41" s="71"/>
      <c r="O41" s="53"/>
      <c r="P41" s="72"/>
      <c r="R41" s="193"/>
      <c r="S41" s="194"/>
      <c r="T41" s="194"/>
      <c r="U41" s="194"/>
      <c r="V41" s="194"/>
      <c r="W41" s="194"/>
      <c r="X41" s="195"/>
    </row>
    <row r="42" spans="13:24" x14ac:dyDescent="0.25">
      <c r="N42" s="71"/>
      <c r="O42" s="53"/>
      <c r="P42" s="72"/>
      <c r="R42" s="193"/>
      <c r="S42" s="194"/>
      <c r="T42" s="194"/>
      <c r="U42" s="194"/>
      <c r="V42" s="194"/>
      <c r="W42" s="194"/>
      <c r="X42" s="195"/>
    </row>
    <row r="43" spans="13:24" x14ac:dyDescent="0.25">
      <c r="N43" s="71"/>
      <c r="O43" s="53"/>
      <c r="P43" s="72"/>
      <c r="R43" s="193"/>
      <c r="S43" s="194"/>
      <c r="T43" s="194"/>
      <c r="U43" s="194"/>
      <c r="V43" s="194"/>
      <c r="W43" s="194"/>
      <c r="X43" s="195"/>
    </row>
    <row r="44" spans="13:24" ht="15.95" customHeight="1" x14ac:dyDescent="0.25">
      <c r="N44" s="71"/>
      <c r="O44" s="53"/>
      <c r="P44" s="72"/>
      <c r="R44" s="193"/>
      <c r="S44" s="194"/>
      <c r="T44" s="194"/>
      <c r="U44" s="194"/>
      <c r="V44" s="194"/>
      <c r="W44" s="194"/>
      <c r="X44" s="195"/>
    </row>
    <row r="45" spans="13:24" x14ac:dyDescent="0.25">
      <c r="M45" s="71"/>
      <c r="N45" s="71"/>
      <c r="O45" s="53"/>
      <c r="P45" s="72"/>
      <c r="R45" s="193"/>
      <c r="S45" s="194"/>
      <c r="T45" s="194"/>
      <c r="U45" s="194"/>
      <c r="V45" s="194"/>
      <c r="W45" s="194"/>
      <c r="X45" s="195"/>
    </row>
    <row r="46" spans="13:24" x14ac:dyDescent="0.25">
      <c r="M46" s="71"/>
      <c r="N46" s="71"/>
      <c r="P46" s="72"/>
      <c r="R46" s="193"/>
      <c r="S46" s="194"/>
      <c r="T46" s="194"/>
      <c r="U46" s="194"/>
      <c r="V46" s="194"/>
      <c r="W46" s="194"/>
      <c r="X46" s="195"/>
    </row>
    <row r="47" spans="13:24" x14ac:dyDescent="0.25">
      <c r="M47" s="71"/>
      <c r="N47" s="71"/>
      <c r="R47" s="193"/>
      <c r="S47" s="194"/>
      <c r="T47" s="194"/>
      <c r="U47" s="194"/>
      <c r="V47" s="194"/>
      <c r="W47" s="194"/>
      <c r="X47" s="195"/>
    </row>
    <row r="48" spans="13:24" x14ac:dyDescent="0.25">
      <c r="M48" s="71"/>
      <c r="N48" s="71"/>
      <c r="R48" s="193"/>
      <c r="S48" s="194"/>
      <c r="T48" s="194"/>
      <c r="U48" s="194"/>
      <c r="V48" s="194"/>
      <c r="W48" s="194"/>
      <c r="X48" s="195"/>
    </row>
    <row r="49" spans="13:24" x14ac:dyDescent="0.25">
      <c r="M49" s="73"/>
      <c r="N49" s="71"/>
      <c r="R49" s="193"/>
      <c r="S49" s="194"/>
      <c r="T49" s="194"/>
      <c r="U49" s="194"/>
      <c r="V49" s="194"/>
      <c r="W49" s="194"/>
      <c r="X49" s="195"/>
    </row>
    <row r="50" spans="13:24" x14ac:dyDescent="0.25">
      <c r="M50" s="73"/>
      <c r="N50" s="71"/>
      <c r="R50" s="193"/>
      <c r="S50" s="194"/>
      <c r="T50" s="194"/>
      <c r="U50" s="194"/>
      <c r="V50" s="194"/>
      <c r="W50" s="194"/>
      <c r="X50" s="195"/>
    </row>
    <row r="51" spans="13:24" x14ac:dyDescent="0.25">
      <c r="M51" s="73"/>
      <c r="N51" s="71"/>
      <c r="R51" s="193"/>
      <c r="S51" s="194"/>
      <c r="T51" s="194"/>
      <c r="U51" s="194"/>
      <c r="V51" s="194"/>
      <c r="W51" s="194"/>
      <c r="X51" s="195"/>
    </row>
    <row r="52" spans="13:24" x14ac:dyDescent="0.25">
      <c r="M52" s="73"/>
      <c r="R52" s="193"/>
      <c r="S52" s="194"/>
      <c r="T52" s="194"/>
      <c r="U52" s="194"/>
      <c r="V52" s="194"/>
      <c r="W52" s="194"/>
      <c r="X52" s="195"/>
    </row>
    <row r="53" spans="13:24" x14ac:dyDescent="0.25">
      <c r="M53" s="73"/>
      <c r="R53" s="193"/>
      <c r="S53" s="194"/>
      <c r="T53" s="194"/>
      <c r="U53" s="194"/>
      <c r="V53" s="194"/>
      <c r="W53" s="194"/>
      <c r="X53" s="195"/>
    </row>
    <row r="54" spans="13:24" x14ac:dyDescent="0.25">
      <c r="M54" s="73"/>
      <c r="R54" s="193"/>
      <c r="S54" s="194"/>
      <c r="T54" s="194"/>
      <c r="U54" s="194"/>
      <c r="V54" s="194"/>
      <c r="W54" s="194"/>
      <c r="X54" s="195"/>
    </row>
    <row r="55" spans="13:24" ht="15.95" customHeight="1" thickBot="1" x14ac:dyDescent="0.3">
      <c r="M55" s="73"/>
      <c r="R55" s="196"/>
      <c r="S55" s="197"/>
      <c r="T55" s="197"/>
      <c r="U55" s="197"/>
      <c r="V55" s="197"/>
      <c r="W55" s="197"/>
      <c r="X55" s="198"/>
    </row>
    <row r="56" spans="13:24" x14ac:dyDescent="0.25">
      <c r="M56" s="73"/>
    </row>
    <row r="57" spans="13:24" ht="15.95" customHeight="1" x14ac:dyDescent="0.25">
      <c r="M57" s="73"/>
    </row>
  </sheetData>
  <mergeCells count="7">
    <mergeCell ref="R2:X55"/>
    <mergeCell ref="M30:M32"/>
    <mergeCell ref="M19:M22"/>
    <mergeCell ref="M8:M18"/>
    <mergeCell ref="M2:M7"/>
    <mergeCell ref="M24:M26"/>
    <mergeCell ref="M27:M2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A5634F7-A23F-43E8-AE40-9A23432FFFB3}">
          <x14:formula1>
            <xm:f>'Lookups (Keep Hidden)'!$A$1:$A$2</xm:f>
          </x14:formula1>
          <xm:sqref>P2:P32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F64"/>
  <sheetViews>
    <sheetView zoomScale="110" zoomScaleNormal="110" workbookViewId="0">
      <pane xSplit="3" ySplit="2" topLeftCell="E3" activePane="bottomRight" state="frozen"/>
      <selection pane="topRight" activeCell="D1" sqref="D1"/>
      <selection pane="bottomLeft" activeCell="A3" sqref="A3"/>
      <selection pane="bottomRight" activeCell="J3" sqref="J3"/>
    </sheetView>
  </sheetViews>
  <sheetFormatPr defaultColWidth="9.140625" defaultRowHeight="15" x14ac:dyDescent="0.25"/>
  <cols>
    <col min="1" max="1" width="3.7109375" style="1" bestFit="1" customWidth="1"/>
    <col min="2" max="2" width="9.7109375" style="1" customWidth="1"/>
    <col min="3" max="3" width="41.7109375" style="1" customWidth="1"/>
    <col min="4" max="4" width="42.85546875" style="1" hidden="1" customWidth="1"/>
    <col min="5" max="9" width="42.85546875" style="1" customWidth="1"/>
    <col min="10" max="11" width="9.140625" style="1" customWidth="1"/>
    <col min="12" max="16384" width="9.140625" style="1"/>
  </cols>
  <sheetData>
    <row r="1" spans="1:32" ht="15.75" thickBot="1" x14ac:dyDescent="0.3">
      <c r="A1" s="96" t="s">
        <v>54</v>
      </c>
      <c r="B1" s="97"/>
      <c r="C1" s="7"/>
      <c r="D1" s="213" t="s">
        <v>51</v>
      </c>
      <c r="E1" s="214"/>
      <c r="F1" s="191"/>
      <c r="G1" s="191"/>
      <c r="H1" s="191"/>
      <c r="I1" s="191"/>
      <c r="J1" s="216"/>
    </row>
    <row r="2" spans="1:32" ht="15.75" thickBot="1" x14ac:dyDescent="0.3">
      <c r="A2" s="98"/>
      <c r="B2" s="217" t="s">
        <v>55</v>
      </c>
      <c r="C2" s="194"/>
      <c r="D2" s="99" t="s">
        <v>52</v>
      </c>
      <c r="E2" s="99" t="s">
        <v>70</v>
      </c>
      <c r="F2" s="99" t="s">
        <v>56</v>
      </c>
      <c r="G2" s="99" t="s">
        <v>57</v>
      </c>
      <c r="H2" s="99" t="s">
        <v>58</v>
      </c>
      <c r="I2" s="100" t="s">
        <v>59</v>
      </c>
      <c r="J2" s="194"/>
      <c r="K2" s="9" t="s">
        <v>36</v>
      </c>
    </row>
    <row r="3" spans="1:32" ht="386.25" customHeight="1" thickBot="1" x14ac:dyDescent="0.3">
      <c r="A3" s="210" t="s">
        <v>53</v>
      </c>
      <c r="B3" s="220" t="s">
        <v>37</v>
      </c>
      <c r="C3" s="101" t="s">
        <v>71</v>
      </c>
      <c r="D3" s="102" t="s">
        <v>211</v>
      </c>
      <c r="E3" s="103" t="s">
        <v>94</v>
      </c>
      <c r="F3" s="104" t="s">
        <v>212</v>
      </c>
      <c r="G3" s="105" t="s">
        <v>252</v>
      </c>
      <c r="H3" s="105" t="s">
        <v>213</v>
      </c>
      <c r="I3" s="106" t="s">
        <v>253</v>
      </c>
      <c r="J3" s="8"/>
      <c r="K3" s="190" t="s">
        <v>264</v>
      </c>
      <c r="L3" s="191"/>
      <c r="M3" s="191"/>
      <c r="N3" s="191"/>
      <c r="O3" s="191"/>
      <c r="P3" s="191"/>
      <c r="Q3" s="192"/>
      <c r="R3" s="5"/>
      <c r="T3" s="5"/>
      <c r="U3" s="5"/>
      <c r="V3" s="5"/>
      <c r="W3" s="5"/>
      <c r="Y3" s="5"/>
      <c r="Z3" s="5"/>
      <c r="AA3" s="5"/>
      <c r="AB3" s="5"/>
      <c r="AC3" s="5"/>
      <c r="AD3" s="5"/>
      <c r="AE3" s="5"/>
      <c r="AF3" s="5"/>
    </row>
    <row r="4" spans="1:32" ht="328.5" customHeight="1" thickBot="1" x14ac:dyDescent="0.3">
      <c r="A4" s="211"/>
      <c r="B4" s="193"/>
      <c r="C4" s="101" t="s">
        <v>96</v>
      </c>
      <c r="D4" s="107"/>
      <c r="E4" s="108" t="s">
        <v>95</v>
      </c>
      <c r="F4" s="109" t="s">
        <v>214</v>
      </c>
      <c r="G4" s="110" t="s">
        <v>254</v>
      </c>
      <c r="H4" s="111" t="s">
        <v>215</v>
      </c>
      <c r="I4" s="112" t="s">
        <v>255</v>
      </c>
      <c r="J4" s="8"/>
      <c r="K4" s="193"/>
      <c r="L4" s="194"/>
      <c r="M4" s="194"/>
      <c r="N4" s="194"/>
      <c r="O4" s="194"/>
      <c r="P4" s="194"/>
      <c r="Q4" s="195"/>
      <c r="R4" s="6"/>
      <c r="S4" s="6"/>
      <c r="T4" s="6"/>
      <c r="U4" s="6"/>
      <c r="V4" s="6"/>
      <c r="W4" s="6"/>
      <c r="X4" s="6"/>
      <c r="Y4" s="6"/>
      <c r="Z4" s="6"/>
      <c r="AA4" s="6"/>
      <c r="AB4" s="6"/>
      <c r="AC4" s="6"/>
      <c r="AD4" s="6"/>
      <c r="AE4" s="6"/>
      <c r="AF4" s="6"/>
    </row>
    <row r="5" spans="1:32" ht="409.5" x14ac:dyDescent="0.25">
      <c r="A5" s="211"/>
      <c r="B5" s="193"/>
      <c r="C5" s="113" t="s">
        <v>73</v>
      </c>
      <c r="D5" s="114" t="s">
        <v>216</v>
      </c>
      <c r="E5" s="115" t="s">
        <v>97</v>
      </c>
      <c r="F5" s="116" t="s">
        <v>217</v>
      </c>
      <c r="G5" s="117" t="s">
        <v>256</v>
      </c>
      <c r="H5" s="117" t="s">
        <v>218</v>
      </c>
      <c r="I5" s="118" t="s">
        <v>257</v>
      </c>
      <c r="J5" s="8"/>
      <c r="K5" s="193"/>
      <c r="L5" s="194"/>
      <c r="M5" s="194"/>
      <c r="N5" s="194"/>
      <c r="O5" s="194"/>
      <c r="P5" s="194"/>
      <c r="Q5" s="195"/>
    </row>
    <row r="6" spans="1:32" ht="409.6" thickBot="1" x14ac:dyDescent="0.3">
      <c r="A6" s="211"/>
      <c r="B6" s="193"/>
      <c r="C6" s="113" t="s">
        <v>74</v>
      </c>
      <c r="D6" s="107" t="s">
        <v>219</v>
      </c>
      <c r="E6" s="115" t="s">
        <v>98</v>
      </c>
      <c r="F6" s="119" t="s">
        <v>220</v>
      </c>
      <c r="G6" s="120" t="s">
        <v>258</v>
      </c>
      <c r="H6" s="120" t="s">
        <v>221</v>
      </c>
      <c r="I6" s="118" t="s">
        <v>259</v>
      </c>
      <c r="J6" s="8"/>
      <c r="K6" s="196"/>
      <c r="L6" s="197"/>
      <c r="M6" s="197"/>
      <c r="N6" s="197"/>
      <c r="O6" s="197"/>
      <c r="P6" s="197"/>
      <c r="Q6" s="198"/>
    </row>
    <row r="7" spans="1:32" ht="409.5" x14ac:dyDescent="0.25">
      <c r="A7" s="211"/>
      <c r="B7" s="193"/>
      <c r="C7" s="113" t="s">
        <v>75</v>
      </c>
      <c r="D7" s="107" t="s">
        <v>222</v>
      </c>
      <c r="E7" s="121" t="s">
        <v>99</v>
      </c>
      <c r="F7" s="119" t="s">
        <v>223</v>
      </c>
      <c r="G7" s="120" t="s">
        <v>260</v>
      </c>
      <c r="H7" s="120" t="s">
        <v>224</v>
      </c>
      <c r="I7" s="118" t="s">
        <v>261</v>
      </c>
      <c r="J7" s="8"/>
      <c r="K7" s="14"/>
      <c r="L7" s="14"/>
      <c r="M7" s="14"/>
      <c r="N7" s="14"/>
      <c r="O7" s="14"/>
      <c r="P7" s="14"/>
      <c r="Q7" s="14"/>
    </row>
    <row r="8" spans="1:32" ht="409.6" thickBot="1" x14ac:dyDescent="0.3">
      <c r="A8" s="211"/>
      <c r="B8" s="196"/>
      <c r="C8" s="122" t="s">
        <v>76</v>
      </c>
      <c r="D8" s="123" t="s">
        <v>225</v>
      </c>
      <c r="E8" s="124" t="s">
        <v>100</v>
      </c>
      <c r="F8" s="125" t="s">
        <v>226</v>
      </c>
      <c r="G8" s="126" t="s">
        <v>250</v>
      </c>
      <c r="H8" s="126" t="s">
        <v>227</v>
      </c>
      <c r="I8" s="127" t="s">
        <v>251</v>
      </c>
      <c r="J8" s="8"/>
      <c r="K8" s="14"/>
      <c r="L8" s="14"/>
      <c r="M8" s="14"/>
      <c r="N8" s="14"/>
      <c r="O8" s="14"/>
      <c r="P8" s="14"/>
      <c r="Q8" s="14"/>
    </row>
    <row r="9" spans="1:32" ht="409.6" thickBot="1" x14ac:dyDescent="0.3">
      <c r="A9" s="211"/>
      <c r="B9" s="218" t="s">
        <v>38</v>
      </c>
      <c r="C9" s="101" t="s">
        <v>77</v>
      </c>
      <c r="D9" s="102" t="s">
        <v>228</v>
      </c>
      <c r="E9" s="102" t="s">
        <v>108</v>
      </c>
      <c r="F9" s="104" t="s">
        <v>229</v>
      </c>
      <c r="G9" s="105" t="s">
        <v>230</v>
      </c>
      <c r="H9" s="105" t="s">
        <v>231</v>
      </c>
      <c r="I9" s="106" t="s">
        <v>101</v>
      </c>
      <c r="J9" s="8"/>
      <c r="K9" s="14"/>
      <c r="L9" s="14"/>
      <c r="M9" s="14"/>
      <c r="N9" s="14"/>
      <c r="O9" s="14"/>
      <c r="P9" s="14"/>
      <c r="Q9" s="14"/>
    </row>
    <row r="10" spans="1:32" ht="409.5" x14ac:dyDescent="0.25">
      <c r="A10" s="211"/>
      <c r="B10" s="193"/>
      <c r="C10" s="101" t="s">
        <v>78</v>
      </c>
      <c r="D10" s="128"/>
      <c r="E10" s="128" t="s">
        <v>103</v>
      </c>
      <c r="F10" s="27" t="s">
        <v>232</v>
      </c>
      <c r="G10" s="120" t="s">
        <v>104</v>
      </c>
      <c r="H10" s="120" t="s">
        <v>105</v>
      </c>
      <c r="I10" s="106" t="s">
        <v>102</v>
      </c>
      <c r="J10" s="8"/>
      <c r="K10" s="14"/>
      <c r="L10" s="14"/>
      <c r="M10" s="14"/>
      <c r="N10" s="14"/>
      <c r="O10" s="14"/>
      <c r="P10" s="14"/>
      <c r="Q10" s="14"/>
    </row>
    <row r="11" spans="1:32" ht="409.5" x14ac:dyDescent="0.25">
      <c r="A11" s="211"/>
      <c r="B11" s="193"/>
      <c r="C11" s="113" t="s">
        <v>79</v>
      </c>
      <c r="D11" s="107" t="s">
        <v>233</v>
      </c>
      <c r="E11" s="107" t="s">
        <v>107</v>
      </c>
      <c r="F11" s="119" t="s">
        <v>109</v>
      </c>
      <c r="G11" s="120" t="s">
        <v>110</v>
      </c>
      <c r="H11" s="120" t="s">
        <v>111</v>
      </c>
      <c r="I11" s="129" t="s">
        <v>106</v>
      </c>
      <c r="J11" s="8"/>
      <c r="K11" s="14"/>
      <c r="L11" s="14"/>
      <c r="M11" s="14"/>
      <c r="N11" s="14"/>
      <c r="O11" s="14"/>
      <c r="P11" s="14"/>
      <c r="Q11" s="14"/>
    </row>
    <row r="12" spans="1:32" ht="409.6" thickBot="1" x14ac:dyDescent="0.3">
      <c r="A12" s="211"/>
      <c r="B12" s="193"/>
      <c r="C12" s="113" t="s">
        <v>80</v>
      </c>
      <c r="D12" s="107" t="s">
        <v>234</v>
      </c>
      <c r="E12" s="107" t="s">
        <v>113</v>
      </c>
      <c r="F12" s="119" t="s">
        <v>114</v>
      </c>
      <c r="G12" s="120" t="s">
        <v>115</v>
      </c>
      <c r="H12" s="120" t="s">
        <v>116</v>
      </c>
      <c r="I12" s="129" t="s">
        <v>117</v>
      </c>
      <c r="J12" s="8"/>
      <c r="K12" s="14"/>
      <c r="L12" s="14"/>
      <c r="M12" s="14"/>
      <c r="N12" s="14"/>
      <c r="O12" s="14"/>
      <c r="P12" s="14"/>
      <c r="Q12" s="14"/>
    </row>
    <row r="13" spans="1:32" ht="409.6" thickBot="1" x14ac:dyDescent="0.3">
      <c r="A13" s="211"/>
      <c r="B13" s="193"/>
      <c r="C13" s="113" t="s">
        <v>81</v>
      </c>
      <c r="D13" s="107" t="s">
        <v>235</v>
      </c>
      <c r="E13" s="107" t="s">
        <v>118</v>
      </c>
      <c r="F13" s="119" t="s">
        <v>119</v>
      </c>
      <c r="G13" s="120" t="s">
        <v>120</v>
      </c>
      <c r="H13" s="120" t="s">
        <v>121</v>
      </c>
      <c r="I13" s="106" t="s">
        <v>112</v>
      </c>
      <c r="J13" s="8"/>
      <c r="K13" s="14"/>
      <c r="L13" s="14"/>
      <c r="M13" s="14"/>
      <c r="N13" s="14"/>
      <c r="O13" s="14"/>
      <c r="P13" s="14"/>
      <c r="Q13" s="14"/>
    </row>
    <row r="14" spans="1:32" ht="409.6" thickBot="1" x14ac:dyDescent="0.3">
      <c r="A14" s="211"/>
      <c r="B14" s="193"/>
      <c r="C14" s="113" t="s">
        <v>82</v>
      </c>
      <c r="D14" s="107" t="s">
        <v>236</v>
      </c>
      <c r="E14" s="107" t="s">
        <v>123</v>
      </c>
      <c r="F14" s="119" t="s">
        <v>124</v>
      </c>
      <c r="G14" s="120" t="s">
        <v>125</v>
      </c>
      <c r="H14" s="120" t="s">
        <v>126</v>
      </c>
      <c r="I14" s="106" t="s">
        <v>122</v>
      </c>
      <c r="J14" s="8"/>
      <c r="K14" s="14"/>
      <c r="L14" s="14"/>
      <c r="M14" s="14"/>
      <c r="N14" s="14"/>
      <c r="O14" s="14"/>
      <c r="P14" s="14"/>
      <c r="Q14" s="14"/>
    </row>
    <row r="15" spans="1:32" ht="409.6" thickBot="1" x14ac:dyDescent="0.3">
      <c r="A15" s="211"/>
      <c r="B15" s="193"/>
      <c r="C15" s="113" t="s">
        <v>83</v>
      </c>
      <c r="D15" s="107" t="s">
        <v>237</v>
      </c>
      <c r="E15" s="107" t="s">
        <v>128</v>
      </c>
      <c r="F15" s="119" t="s">
        <v>129</v>
      </c>
      <c r="G15" s="120" t="s">
        <v>130</v>
      </c>
      <c r="H15" s="120" t="s">
        <v>131</v>
      </c>
      <c r="I15" s="106" t="s">
        <v>127</v>
      </c>
      <c r="J15" s="8"/>
      <c r="K15" s="14"/>
      <c r="L15" s="14"/>
      <c r="M15" s="14"/>
      <c r="N15" s="14"/>
      <c r="O15" s="14"/>
      <c r="P15" s="14"/>
      <c r="Q15" s="14"/>
    </row>
    <row r="16" spans="1:32" ht="409.6" thickBot="1" x14ac:dyDescent="0.3">
      <c r="A16" s="211"/>
      <c r="B16" s="193"/>
      <c r="C16" s="113" t="s">
        <v>84</v>
      </c>
      <c r="D16" s="107" t="s">
        <v>238</v>
      </c>
      <c r="E16" s="107" t="s">
        <v>133</v>
      </c>
      <c r="F16" s="119" t="s">
        <v>134</v>
      </c>
      <c r="G16" s="120" t="s">
        <v>135</v>
      </c>
      <c r="H16" s="120" t="s">
        <v>136</v>
      </c>
      <c r="I16" s="106" t="s">
        <v>132</v>
      </c>
      <c r="J16" s="8"/>
      <c r="K16" s="14"/>
      <c r="L16" s="14"/>
      <c r="M16" s="14"/>
      <c r="N16" s="14"/>
      <c r="O16" s="14"/>
      <c r="P16" s="14"/>
      <c r="Q16" s="14"/>
    </row>
    <row r="17" spans="1:17" ht="409.6" thickBot="1" x14ac:dyDescent="0.3">
      <c r="A17" s="211"/>
      <c r="B17" s="193"/>
      <c r="C17" s="113" t="s">
        <v>85</v>
      </c>
      <c r="D17" s="114" t="s">
        <v>239</v>
      </c>
      <c r="E17" s="114" t="s">
        <v>138</v>
      </c>
      <c r="F17" s="119" t="s">
        <v>139</v>
      </c>
      <c r="G17" s="120" t="s">
        <v>140</v>
      </c>
      <c r="H17" s="120" t="s">
        <v>141</v>
      </c>
      <c r="I17" s="106" t="s">
        <v>137</v>
      </c>
      <c r="J17" s="8"/>
      <c r="K17" s="14"/>
      <c r="L17" s="14"/>
      <c r="M17" s="14"/>
      <c r="N17" s="14"/>
      <c r="O17" s="14"/>
      <c r="P17" s="14"/>
      <c r="Q17" s="14"/>
    </row>
    <row r="18" spans="1:17" ht="409.6" thickBot="1" x14ac:dyDescent="0.3">
      <c r="A18" s="211"/>
      <c r="B18" s="193"/>
      <c r="C18" s="113" t="s">
        <v>86</v>
      </c>
      <c r="D18" s="114" t="s">
        <v>240</v>
      </c>
      <c r="E18" s="114" t="s">
        <v>143</v>
      </c>
      <c r="F18" s="119" t="s">
        <v>144</v>
      </c>
      <c r="G18" s="120" t="s">
        <v>145</v>
      </c>
      <c r="H18" s="120" t="s">
        <v>146</v>
      </c>
      <c r="I18" s="106" t="s">
        <v>142</v>
      </c>
      <c r="J18" s="8"/>
      <c r="K18" s="14"/>
      <c r="L18" s="14"/>
      <c r="M18" s="14"/>
      <c r="N18" s="14"/>
      <c r="O18" s="14"/>
      <c r="P18" s="14"/>
      <c r="Q18" s="14"/>
    </row>
    <row r="19" spans="1:17" ht="409.6" thickBot="1" x14ac:dyDescent="0.3">
      <c r="A19" s="211"/>
      <c r="B19" s="219"/>
      <c r="C19" s="113" t="s">
        <v>87</v>
      </c>
      <c r="D19" s="114" t="s">
        <v>241</v>
      </c>
      <c r="E19" s="114" t="s">
        <v>148</v>
      </c>
      <c r="F19" s="119" t="s">
        <v>149</v>
      </c>
      <c r="G19" s="120" t="s">
        <v>150</v>
      </c>
      <c r="H19" s="120" t="s">
        <v>151</v>
      </c>
      <c r="I19" s="106" t="s">
        <v>147</v>
      </c>
      <c r="J19" s="8"/>
      <c r="K19" s="14"/>
      <c r="L19" s="14"/>
      <c r="M19" s="14"/>
      <c r="N19" s="14"/>
      <c r="O19" s="14"/>
      <c r="P19" s="14"/>
      <c r="Q19" s="14"/>
    </row>
    <row r="20" spans="1:17" ht="409.6" thickBot="1" x14ac:dyDescent="0.3">
      <c r="A20" s="211"/>
      <c r="B20" s="215" t="s">
        <v>39</v>
      </c>
      <c r="C20" s="101" t="s">
        <v>88</v>
      </c>
      <c r="D20" s="102" t="s">
        <v>242</v>
      </c>
      <c r="E20" s="102" t="s">
        <v>153</v>
      </c>
      <c r="F20" s="104" t="s">
        <v>154</v>
      </c>
      <c r="G20" s="105" t="s">
        <v>155</v>
      </c>
      <c r="H20" s="105" t="s">
        <v>156</v>
      </c>
      <c r="I20" s="106" t="s">
        <v>152</v>
      </c>
      <c r="J20" s="8"/>
      <c r="K20" s="14"/>
      <c r="L20" s="14"/>
      <c r="M20" s="14"/>
      <c r="N20" s="14"/>
      <c r="O20" s="14"/>
      <c r="P20" s="14"/>
      <c r="Q20" s="14"/>
    </row>
    <row r="21" spans="1:17" ht="409.6" thickBot="1" x14ac:dyDescent="0.3">
      <c r="A21" s="211"/>
      <c r="B21" s="193"/>
      <c r="C21" s="113" t="s">
        <v>89</v>
      </c>
      <c r="D21" s="107" t="s">
        <v>243</v>
      </c>
      <c r="E21" s="107" t="s">
        <v>158</v>
      </c>
      <c r="F21" s="119" t="s">
        <v>159</v>
      </c>
      <c r="G21" s="120" t="s">
        <v>160</v>
      </c>
      <c r="H21" s="120" t="s">
        <v>161</v>
      </c>
      <c r="I21" s="106" t="s">
        <v>157</v>
      </c>
      <c r="J21" s="8"/>
      <c r="K21" s="14"/>
      <c r="L21" s="14"/>
      <c r="M21" s="14"/>
      <c r="N21" s="14"/>
      <c r="O21" s="14"/>
      <c r="P21" s="14"/>
      <c r="Q21" s="14"/>
    </row>
    <row r="22" spans="1:17" ht="409.6" thickBot="1" x14ac:dyDescent="0.3">
      <c r="A22" s="211"/>
      <c r="B22" s="193"/>
      <c r="C22" s="113" t="s">
        <v>90</v>
      </c>
      <c r="D22" s="107" t="s">
        <v>244</v>
      </c>
      <c r="E22" s="107" t="s">
        <v>163</v>
      </c>
      <c r="F22" s="119" t="s">
        <v>164</v>
      </c>
      <c r="G22" s="120" t="s">
        <v>165</v>
      </c>
      <c r="H22" s="120" t="s">
        <v>166</v>
      </c>
      <c r="I22" s="106" t="s">
        <v>162</v>
      </c>
      <c r="J22" s="8"/>
      <c r="K22" s="14"/>
      <c r="L22" s="14"/>
      <c r="M22" s="14"/>
      <c r="N22" s="14"/>
      <c r="O22" s="14"/>
      <c r="P22" s="14"/>
      <c r="Q22" s="14"/>
    </row>
    <row r="23" spans="1:17" ht="409.6" thickBot="1" x14ac:dyDescent="0.3">
      <c r="A23" s="211"/>
      <c r="B23" s="193"/>
      <c r="C23" s="130" t="s">
        <v>40</v>
      </c>
      <c r="D23" s="131" t="s">
        <v>245</v>
      </c>
      <c r="E23" s="131" t="s">
        <v>168</v>
      </c>
      <c r="F23" s="125" t="s">
        <v>169</v>
      </c>
      <c r="G23" s="126" t="s">
        <v>170</v>
      </c>
      <c r="H23" s="126" t="s">
        <v>171</v>
      </c>
      <c r="I23" s="132" t="s">
        <v>167</v>
      </c>
      <c r="J23" s="8"/>
    </row>
    <row r="24" spans="1:17" ht="409.6" thickBot="1" x14ac:dyDescent="0.3">
      <c r="A24" s="211"/>
      <c r="B24" s="133" t="s">
        <v>41</v>
      </c>
      <c r="C24" s="134" t="s">
        <v>91</v>
      </c>
      <c r="D24" s="135" t="s">
        <v>246</v>
      </c>
      <c r="E24" s="136" t="s">
        <v>175</v>
      </c>
      <c r="F24" s="109" t="s">
        <v>176</v>
      </c>
      <c r="G24" s="137" t="s">
        <v>177</v>
      </c>
      <c r="H24" s="138" t="s">
        <v>178</v>
      </c>
      <c r="I24" s="139" t="s">
        <v>174</v>
      </c>
      <c r="J24" s="8"/>
    </row>
    <row r="25" spans="1:17" ht="409.6" thickBot="1" x14ac:dyDescent="0.3">
      <c r="A25" s="211"/>
      <c r="B25" s="224" t="s">
        <v>42</v>
      </c>
      <c r="C25" s="140" t="s">
        <v>43</v>
      </c>
      <c r="D25" s="141"/>
      <c r="E25" s="142" t="s">
        <v>180</v>
      </c>
      <c r="F25" s="116" t="s">
        <v>181</v>
      </c>
      <c r="G25" s="117" t="s">
        <v>182</v>
      </c>
      <c r="H25" s="118" t="s">
        <v>183</v>
      </c>
      <c r="I25" s="143" t="s">
        <v>179</v>
      </c>
      <c r="J25" s="8"/>
    </row>
    <row r="26" spans="1:17" ht="409.5" x14ac:dyDescent="0.25">
      <c r="A26" s="211"/>
      <c r="B26" s="224"/>
      <c r="C26" s="113" t="s">
        <v>44</v>
      </c>
      <c r="D26" s="144"/>
      <c r="E26" s="114" t="s">
        <v>185</v>
      </c>
      <c r="F26" s="119" t="s">
        <v>186</v>
      </c>
      <c r="G26" s="120" t="s">
        <v>187</v>
      </c>
      <c r="H26" s="129" t="s">
        <v>188</v>
      </c>
      <c r="I26" s="145" t="s">
        <v>184</v>
      </c>
      <c r="J26" s="8"/>
    </row>
    <row r="27" spans="1:17" ht="409.6" thickBot="1" x14ac:dyDescent="0.3">
      <c r="A27" s="211"/>
      <c r="B27" s="224"/>
      <c r="C27" s="130" t="s">
        <v>45</v>
      </c>
      <c r="D27" s="146"/>
      <c r="E27" s="147" t="s">
        <v>190</v>
      </c>
      <c r="F27" s="125" t="s">
        <v>191</v>
      </c>
      <c r="G27" s="126" t="s">
        <v>192</v>
      </c>
      <c r="H27" s="127" t="s">
        <v>193</v>
      </c>
      <c r="I27" s="148" t="s">
        <v>189</v>
      </c>
      <c r="J27" s="8"/>
    </row>
    <row r="28" spans="1:17" ht="409.6" thickBot="1" x14ac:dyDescent="0.3">
      <c r="A28" s="211"/>
      <c r="B28" s="225" t="s">
        <v>46</v>
      </c>
      <c r="C28" s="101" t="s">
        <v>47</v>
      </c>
      <c r="D28" s="149"/>
      <c r="E28" s="150" t="s">
        <v>195</v>
      </c>
      <c r="F28" s="109" t="s">
        <v>196</v>
      </c>
      <c r="G28" s="105" t="s">
        <v>197</v>
      </c>
      <c r="H28" s="151" t="s">
        <v>198</v>
      </c>
      <c r="I28" s="152" t="s">
        <v>194</v>
      </c>
      <c r="J28" s="8"/>
    </row>
    <row r="29" spans="1:17" ht="409.6" thickBot="1" x14ac:dyDescent="0.3">
      <c r="A29" s="211"/>
      <c r="B29" s="226"/>
      <c r="C29" s="122" t="s">
        <v>48</v>
      </c>
      <c r="D29" s="153"/>
      <c r="E29" s="154" t="s">
        <v>200</v>
      </c>
      <c r="F29" s="155" t="s">
        <v>201</v>
      </c>
      <c r="G29" s="111" t="s">
        <v>202</v>
      </c>
      <c r="H29" s="156" t="s">
        <v>203</v>
      </c>
      <c r="I29" s="143" t="s">
        <v>199</v>
      </c>
      <c r="J29" s="8"/>
    </row>
    <row r="30" spans="1:17" ht="363" customHeight="1" thickBot="1" x14ac:dyDescent="0.3">
      <c r="A30" s="211"/>
      <c r="B30" s="157" t="s">
        <v>49</v>
      </c>
      <c r="C30" s="140" t="s">
        <v>50</v>
      </c>
      <c r="D30" s="141"/>
      <c r="E30" s="142" t="s">
        <v>205</v>
      </c>
      <c r="F30" s="158" t="s">
        <v>206</v>
      </c>
      <c r="G30" s="159" t="s">
        <v>207</v>
      </c>
      <c r="H30" s="160" t="s">
        <v>208</v>
      </c>
      <c r="I30" s="161" t="s">
        <v>204</v>
      </c>
      <c r="J30" s="8"/>
    </row>
    <row r="31" spans="1:17" ht="291.75" customHeight="1" thickBot="1" x14ac:dyDescent="0.3">
      <c r="A31" s="211"/>
      <c r="B31" s="221" t="s">
        <v>92</v>
      </c>
      <c r="C31" s="162" t="s">
        <v>93</v>
      </c>
      <c r="D31" s="68"/>
      <c r="E31" s="163" t="s">
        <v>209</v>
      </c>
      <c r="F31" s="163" t="s">
        <v>247</v>
      </c>
      <c r="G31" s="163" t="s">
        <v>248</v>
      </c>
      <c r="H31" s="163" t="s">
        <v>249</v>
      </c>
      <c r="I31" s="164"/>
    </row>
    <row r="32" spans="1:17" ht="291.75" customHeight="1" thickBot="1" x14ac:dyDescent="0.3">
      <c r="A32" s="211"/>
      <c r="B32" s="222"/>
      <c r="C32" s="165" t="s">
        <v>93</v>
      </c>
      <c r="D32" s="67"/>
      <c r="E32" s="166" t="s">
        <v>209</v>
      </c>
      <c r="F32" s="163" t="s">
        <v>247</v>
      </c>
      <c r="G32" s="163" t="s">
        <v>248</v>
      </c>
      <c r="H32" s="163" t="s">
        <v>249</v>
      </c>
      <c r="I32" s="167"/>
    </row>
    <row r="33" spans="1:9" ht="291.75" customHeight="1" thickBot="1" x14ac:dyDescent="0.3">
      <c r="A33" s="212"/>
      <c r="B33" s="223"/>
      <c r="C33" s="168" t="s">
        <v>93</v>
      </c>
      <c r="D33" s="69"/>
      <c r="E33" s="169" t="s">
        <v>209</v>
      </c>
      <c r="F33" s="163" t="s">
        <v>247</v>
      </c>
      <c r="G33" s="163" t="s">
        <v>248</v>
      </c>
      <c r="H33" s="163" t="s">
        <v>249</v>
      </c>
      <c r="I33" s="170"/>
    </row>
    <row r="34" spans="1:9" x14ac:dyDescent="0.25">
      <c r="B34" s="86"/>
      <c r="C34" s="53"/>
    </row>
    <row r="35" spans="1:9" x14ac:dyDescent="0.25">
      <c r="B35" s="86"/>
      <c r="C35" s="53"/>
    </row>
    <row r="36" spans="1:9" x14ac:dyDescent="0.25">
      <c r="B36" s="86"/>
      <c r="C36" s="53"/>
    </row>
    <row r="37" spans="1:9" x14ac:dyDescent="0.25">
      <c r="B37" s="86"/>
      <c r="C37" s="53"/>
    </row>
    <row r="38" spans="1:9" x14ac:dyDescent="0.25">
      <c r="B38" s="86"/>
      <c r="C38" s="53"/>
    </row>
    <row r="39" spans="1:9" x14ac:dyDescent="0.25">
      <c r="B39" s="86"/>
      <c r="C39" s="53"/>
    </row>
    <row r="40" spans="1:9" x14ac:dyDescent="0.25">
      <c r="B40" s="86"/>
      <c r="C40" s="53"/>
    </row>
    <row r="41" spans="1:9" x14ac:dyDescent="0.25">
      <c r="B41" s="86"/>
      <c r="C41" s="53"/>
    </row>
    <row r="42" spans="1:9" x14ac:dyDescent="0.25">
      <c r="B42" s="86"/>
      <c r="C42" s="53"/>
    </row>
    <row r="43" spans="1:9" x14ac:dyDescent="0.25">
      <c r="C43" s="53"/>
    </row>
    <row r="44" spans="1:9" x14ac:dyDescent="0.25">
      <c r="C44" s="53"/>
    </row>
    <row r="45" spans="1:9" x14ac:dyDescent="0.25">
      <c r="C45" s="53"/>
    </row>
    <row r="46" spans="1:9" x14ac:dyDescent="0.25">
      <c r="C46" s="53"/>
    </row>
    <row r="47" spans="1:9" x14ac:dyDescent="0.25">
      <c r="C47" s="53"/>
    </row>
    <row r="48" spans="1:9" x14ac:dyDescent="0.25">
      <c r="C48" s="53"/>
    </row>
    <row r="49" spans="3:3" x14ac:dyDescent="0.25">
      <c r="C49" s="53"/>
    </row>
    <row r="50" spans="3:3" x14ac:dyDescent="0.25">
      <c r="C50" s="53"/>
    </row>
    <row r="51" spans="3:3" x14ac:dyDescent="0.25">
      <c r="C51" s="53"/>
    </row>
    <row r="52" spans="3:3" x14ac:dyDescent="0.25">
      <c r="C52" s="53"/>
    </row>
    <row r="53" spans="3:3" x14ac:dyDescent="0.25">
      <c r="C53" s="53"/>
    </row>
    <row r="54" spans="3:3" x14ac:dyDescent="0.25">
      <c r="C54" s="53"/>
    </row>
    <row r="55" spans="3:3" x14ac:dyDescent="0.25">
      <c r="C55" s="53"/>
    </row>
    <row r="56" spans="3:3" x14ac:dyDescent="0.25">
      <c r="C56" s="53"/>
    </row>
    <row r="57" spans="3:3" x14ac:dyDescent="0.25">
      <c r="C57" s="53"/>
    </row>
    <row r="58" spans="3:3" x14ac:dyDescent="0.25">
      <c r="C58" s="53"/>
    </row>
    <row r="59" spans="3:3" x14ac:dyDescent="0.25">
      <c r="C59" s="53"/>
    </row>
    <row r="60" spans="3:3" x14ac:dyDescent="0.25">
      <c r="C60" s="53"/>
    </row>
    <row r="61" spans="3:3" x14ac:dyDescent="0.25">
      <c r="C61" s="53"/>
    </row>
    <row r="62" spans="3:3" x14ac:dyDescent="0.25">
      <c r="C62" s="53"/>
    </row>
    <row r="63" spans="3:3" x14ac:dyDescent="0.25">
      <c r="C63" s="53"/>
    </row>
    <row r="64" spans="3:3" x14ac:dyDescent="0.25">
      <c r="C64" s="53"/>
    </row>
  </sheetData>
  <mergeCells count="11">
    <mergeCell ref="A3:A33"/>
    <mergeCell ref="K3:Q6"/>
    <mergeCell ref="D1:I1"/>
    <mergeCell ref="B20:B23"/>
    <mergeCell ref="J1:J2"/>
    <mergeCell ref="B2:C2"/>
    <mergeCell ref="B9:B19"/>
    <mergeCell ref="B3:B8"/>
    <mergeCell ref="B31:B33"/>
    <mergeCell ref="B25:B27"/>
    <mergeCell ref="B28:B29"/>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C135"/>
  <sheetViews>
    <sheetView zoomScale="110" zoomScaleNormal="110" workbookViewId="0">
      <pane ySplit="3" topLeftCell="A4" activePane="bottomLeft" state="frozen"/>
      <selection pane="bottomLeft" activeCell="D9" sqref="D9"/>
    </sheetView>
  </sheetViews>
  <sheetFormatPr defaultColWidth="9.140625" defaultRowHeight="15" x14ac:dyDescent="0.25"/>
  <cols>
    <col min="1" max="1" width="3.7109375" style="4" bestFit="1" customWidth="1"/>
    <col min="2" max="2" width="9.7109375" style="4" customWidth="1"/>
    <col min="3" max="3" width="28.42578125" style="4" bestFit="1" customWidth="1"/>
    <col min="4" max="4" width="54.42578125" style="29" customWidth="1"/>
    <col min="5" max="5" width="52.85546875" style="29" customWidth="1"/>
    <col min="6" max="6" width="47.7109375" style="29" customWidth="1"/>
    <col min="7" max="8" width="9.140625" style="4" customWidth="1"/>
    <col min="9" max="16384" width="9.140625" style="4"/>
  </cols>
  <sheetData>
    <row r="1" spans="1:29" s="1" customFormat="1" x14ac:dyDescent="0.25">
      <c r="A1" s="20" t="s">
        <v>54</v>
      </c>
      <c r="B1" s="7"/>
      <c r="C1" s="21"/>
      <c r="D1" s="249" t="s">
        <v>51</v>
      </c>
      <c r="E1" s="191"/>
      <c r="F1" s="191"/>
      <c r="G1" s="248"/>
    </row>
    <row r="2" spans="1:29" ht="15.95" customHeight="1" thickBot="1" x14ac:dyDescent="0.3">
      <c r="A2" s="16"/>
      <c r="B2" s="250" t="s">
        <v>60</v>
      </c>
      <c r="C2" s="197"/>
      <c r="D2" s="227" t="s">
        <v>61</v>
      </c>
      <c r="E2" s="228"/>
      <c r="F2" s="229"/>
      <c r="G2" s="247"/>
      <c r="I2" s="17"/>
      <c r="J2" s="5"/>
    </row>
    <row r="3" spans="1:29" ht="17.100000000000001" customHeight="1" thickBot="1" x14ac:dyDescent="0.3">
      <c r="A3" s="16"/>
      <c r="B3" s="19"/>
      <c r="C3" s="22"/>
      <c r="D3" s="25" t="s">
        <v>56</v>
      </c>
      <c r="E3" s="58" t="s">
        <v>62</v>
      </c>
      <c r="F3" s="50" t="s">
        <v>58</v>
      </c>
      <c r="G3" s="15"/>
      <c r="H3" s="18" t="s">
        <v>36</v>
      </c>
    </row>
    <row r="4" spans="1:29" ht="207.95" customHeight="1" thickBot="1" x14ac:dyDescent="0.3">
      <c r="A4" s="94" t="s">
        <v>53</v>
      </c>
      <c r="B4" s="251" t="s">
        <v>37</v>
      </c>
      <c r="C4" s="230" t="str">
        <f>'Step 1 - System Definition'!O2</f>
        <v>STN PLC: Flow Control (Discharge)</v>
      </c>
      <c r="D4" s="35" t="str">
        <f>'Step 2 - Service Definition'!F3</f>
        <v>Gas Quality Measurement Location
Is the gas chromatograph located on-site at the compressor station or remotely?
If remote, how is the data synchronized with station operations?
Communication of Gas Quality Data
What protocols or networks are used to transmit gas quality data to the AGA flow calculation device?
Is the communication wired, wireless, or via SCADA?
Are there any redundancy or failover mechanisms in place?
Communication of Flow Values to Station PLC
How are flow values transmitted from the flow calculation device to the Station PLC?
Is the flow calculation device an RTU, PLC, or other?
Are values transmitted via digital comms, hardwired I/O, or another method?</v>
      </c>
      <c r="E4" s="51" t="str">
        <f>'Step 2 - Service Definition'!G3</f>
        <v>Chromatograph Configuration
How often is the chromatograph calibrated and validated?
What is the sampling frequency for gas quality analysis?
Flow Calculation Execution
What AGA standard is used for flow calculation (e.g., AGA3, AGA7)?
What flow measurement method is employed (e.g., orifice plate, ultrasonic, turbine)?
Are pipeline physical dimensions, pressure, and temperature inputs acquired locally?
Fallback and Estimation
What is the fallback method if local flow calculation is unavailable?
How is flow estimated using cumulative Unit compressor rates or adjacent station data?
Station PLC Logic
How does the Station PLC prioritize and load Units based on Operations preferences?
Is there a dynamic optimization algorithm or a fixed logic sequence?</v>
      </c>
      <c r="F4" s="51" t="str">
        <f>'Step 2 - Service Definition'!H3</f>
        <v>Speed Setpoint Communication
Are speed setpoints sent via hardwired I/O or digital communication protocols (e.g., Modbus, Ethernet/IP)?
Is there a feedback mechanism from Unit PLCs to confirm receipt and execution?
Are setpoints logged or archived for audit and diagnostics?
Unit PLC Behavior
How do Unit PLCs respond to speed setpoints—do they perform validation checks or safety interlocks?
Is there any local override capability at the Unit level?</v>
      </c>
      <c r="G4" s="8"/>
      <c r="H4" s="190" t="s">
        <v>263</v>
      </c>
      <c r="I4" s="191"/>
      <c r="J4" s="191"/>
      <c r="K4" s="191"/>
      <c r="L4" s="191"/>
      <c r="M4" s="191"/>
      <c r="N4" s="192"/>
      <c r="O4" s="5"/>
      <c r="Q4" s="5"/>
      <c r="R4" s="5"/>
      <c r="S4" s="5"/>
      <c r="T4" s="5"/>
      <c r="V4" s="5"/>
      <c r="W4" s="5"/>
      <c r="X4" s="5"/>
      <c r="Y4" s="5"/>
      <c r="Z4" s="5"/>
      <c r="AA4" s="5"/>
      <c r="AB4" s="5"/>
      <c r="AC4" s="5"/>
    </row>
    <row r="5" spans="1:29" ht="15" customHeight="1" x14ac:dyDescent="0.25">
      <c r="A5" s="95"/>
      <c r="B5" s="231"/>
      <c r="C5" s="231"/>
      <c r="D5" s="52" t="s">
        <v>63</v>
      </c>
      <c r="E5" s="52" t="s">
        <v>64</v>
      </c>
      <c r="F5" s="59"/>
      <c r="G5" s="8"/>
      <c r="H5" s="193"/>
      <c r="I5" s="247"/>
      <c r="J5" s="247"/>
      <c r="K5" s="247"/>
      <c r="L5" s="247"/>
      <c r="M5" s="247"/>
      <c r="N5" s="195"/>
      <c r="O5" s="5"/>
      <c r="Q5" s="5"/>
      <c r="R5" s="5"/>
      <c r="S5" s="5"/>
      <c r="T5" s="5"/>
      <c r="V5" s="5"/>
      <c r="W5" s="5"/>
      <c r="X5" s="5"/>
      <c r="Y5" s="5"/>
      <c r="Z5" s="5"/>
      <c r="AA5" s="5"/>
      <c r="AB5" s="5"/>
      <c r="AC5" s="5"/>
    </row>
    <row r="6" spans="1:29" ht="225" customHeight="1" x14ac:dyDescent="0.25">
      <c r="A6" s="95"/>
      <c r="B6" s="231"/>
      <c r="C6" s="232"/>
      <c r="D6" s="51" t="s">
        <v>65</v>
      </c>
      <c r="E6" s="51" t="s">
        <v>66</v>
      </c>
      <c r="F6" s="59"/>
      <c r="G6" s="8"/>
      <c r="H6" s="193"/>
      <c r="I6" s="247"/>
      <c r="J6" s="247"/>
      <c r="K6" s="247"/>
      <c r="L6" s="247"/>
      <c r="M6" s="247"/>
      <c r="N6" s="195"/>
      <c r="O6" s="5"/>
      <c r="Q6" s="5"/>
      <c r="R6" s="5"/>
      <c r="S6" s="5"/>
      <c r="T6" s="5"/>
      <c r="V6" s="5"/>
      <c r="W6" s="5"/>
      <c r="X6" s="5"/>
      <c r="Y6" s="5"/>
      <c r="Z6" s="5"/>
      <c r="AA6" s="5"/>
      <c r="AB6" s="5"/>
      <c r="AC6" s="5"/>
    </row>
    <row r="7" spans="1:29" ht="207.95" customHeight="1" x14ac:dyDescent="0.25">
      <c r="A7" s="95"/>
      <c r="B7" s="231"/>
      <c r="C7" s="233" t="str">
        <f>'Step 1 - System Definition'!O3</f>
        <v>STN PLC: Press Control (Suction or Discharge)</v>
      </c>
      <c r="D7" s="35" t="str">
        <f>'Step 2 - Service Definition'!F4</f>
        <v>Pressure Measurement Source
Are suction or discharge pressure values measured locally at the station or remotely from other pipeline segments?
What types of sensors are used (e.g., analog transmitters, smart sensors)?
Communication Method
Is pressure data transmitted via local I/O (direct wiring to the Station PLC) or remote I/O (networked communication from remote RTUs or PLCs)?
If remote I/O is used, what protocols are involved (e.g., Modbus TCP, OPC UA, DNP3)?
Are there any intermediary devices (e.g., gateways, data concentrators) between the sensors and the Station PLC?
Data Integrity and Redundancy
Are there redundant pressure sensors or communication paths?
How is data validated before being used in control logic?</v>
      </c>
      <c r="E7" s="51" t="str">
        <f>'Step 2 - Service Definition'!G4</f>
        <v>Control Logic Execution
How does the Station PLC determine which Units to prioritize or load based on Operations preferences?
Is there a configurable prioritization matrix or algorithm?
Setpoint Management
How is the pressure setpoint provided by Operations communicated to the Station PLC (e.g., HMI entry, SCADA command)?
Is there a mechanism for setpoint override or manual control?
Unit Coordination
How does the Station PLC calculate and distribute speed setpoints to individual Unit PLCs?
Are there feedback loops from Unit PLCs to confirm execution or report faults?</v>
      </c>
      <c r="F7" s="51" t="str">
        <f>'Step 2 - Service Definition'!H4</f>
        <v>Communication Pathways
Are speed setpoints transmitted via hardwired I/O or digital communications?
If digital, what protocols are used (e.g., Ethernet/IP, Profibus, Modbus RTU)?
Signal Validation
Is there a handshake or acknowledgment mechanism between Station PLC and Unit PLCs?
How are communication failures detected and handled?
Command Execution
Do Unit PLCs have autonomy to reject or modify received setpoints based on local conditions?
Is there a fallback mode if communication with the Station PLC is lost?</v>
      </c>
      <c r="G7" s="8"/>
      <c r="H7" s="193"/>
      <c r="I7" s="247"/>
      <c r="J7" s="247"/>
      <c r="K7" s="247"/>
      <c r="L7" s="247"/>
      <c r="M7" s="247"/>
      <c r="N7" s="195"/>
      <c r="O7" s="6"/>
      <c r="P7" s="6"/>
      <c r="Q7" s="6"/>
      <c r="R7" s="6"/>
      <c r="S7" s="6"/>
      <c r="T7" s="6"/>
      <c r="U7" s="6"/>
      <c r="V7" s="6"/>
      <c r="W7" s="6"/>
      <c r="X7" s="6"/>
      <c r="Y7" s="6"/>
      <c r="Z7" s="6"/>
      <c r="AA7" s="6"/>
      <c r="AB7" s="6"/>
      <c r="AC7" s="6"/>
    </row>
    <row r="8" spans="1:29" ht="17.100000000000001" customHeight="1" x14ac:dyDescent="0.25">
      <c r="A8" s="95"/>
      <c r="B8" s="231"/>
      <c r="C8" s="231"/>
      <c r="D8" s="52" t="s">
        <v>63</v>
      </c>
      <c r="E8" s="52" t="s">
        <v>64</v>
      </c>
      <c r="F8" s="57"/>
      <c r="G8" s="8"/>
      <c r="H8" s="193"/>
      <c r="I8" s="247"/>
      <c r="J8" s="247"/>
      <c r="K8" s="247"/>
      <c r="L8" s="247"/>
      <c r="M8" s="247"/>
      <c r="N8" s="195"/>
      <c r="O8" s="6"/>
      <c r="P8" s="6"/>
      <c r="Q8" s="6"/>
      <c r="R8" s="6"/>
      <c r="S8" s="6"/>
      <c r="T8" s="6"/>
      <c r="U8" s="6"/>
      <c r="V8" s="6"/>
      <c r="W8" s="6"/>
      <c r="X8" s="6"/>
      <c r="Y8" s="6"/>
      <c r="Z8" s="6"/>
      <c r="AA8" s="6"/>
      <c r="AB8" s="6"/>
      <c r="AC8" s="6"/>
    </row>
    <row r="9" spans="1:29" ht="207.95" customHeight="1" x14ac:dyDescent="0.25">
      <c r="A9" s="95"/>
      <c r="B9" s="231"/>
      <c r="C9" s="232"/>
      <c r="D9" s="51" t="s">
        <v>65</v>
      </c>
      <c r="E9" s="51" t="s">
        <v>66</v>
      </c>
      <c r="F9" s="57"/>
      <c r="G9" s="8"/>
      <c r="H9" s="193"/>
      <c r="I9" s="247"/>
      <c r="J9" s="247"/>
      <c r="K9" s="247"/>
      <c r="L9" s="247"/>
      <c r="M9" s="247"/>
      <c r="N9" s="195"/>
      <c r="O9" s="6"/>
      <c r="P9" s="6"/>
      <c r="Q9" s="6"/>
      <c r="R9" s="6"/>
      <c r="S9" s="6"/>
      <c r="T9" s="6"/>
      <c r="U9" s="6"/>
      <c r="V9" s="6"/>
      <c r="W9" s="6"/>
      <c r="X9" s="6"/>
      <c r="Y9" s="6"/>
      <c r="Z9" s="6"/>
      <c r="AA9" s="6"/>
      <c r="AB9" s="6"/>
      <c r="AC9" s="6"/>
    </row>
    <row r="10" spans="1:29" ht="207.95" customHeight="1" thickBot="1" x14ac:dyDescent="0.3">
      <c r="A10" s="95"/>
      <c r="B10" s="231"/>
      <c r="C10" s="233" t="str">
        <f>'Step 1 - System Definition'!O4</f>
        <v>STN PLC: Valving (Suction, Discharge, ByPass)</v>
      </c>
      <c r="D10" s="35" t="str">
        <f>'Step 2 - Service Definition'!F5</f>
        <v>Valve Position Sensing
What types of sensors are used to detect valve positions (e.g., limit switches, analog positioners)?
Are these sensors connected via local or remote I/O?
What is the resolution and accuracy of valve position feedback?
Operational State Awareness
What digital signals or data sources inform the PLC of the station’s operational state?
Are these inputs derived from SCADA, local HMI, or other PLCs?
How is station demand or mode (e.g., delivery, recycle, ESD) communicated to the PLC?
Valve Actuation Medium Monitoring
Is the availability of actuation medium (e.g., instrument air) monitored digitally?
What sensors or status indicators are used to confirm actuation readiness?
I/O Infrastructure
What is the distribution of local vs remote I/O for valve control and monitoring?
What communication protocols are used (e.g., Modbus, Ethernet/IP, Profibus)?
Is there diagnostic feedback on I/O health or signal integrity?</v>
      </c>
      <c r="E10" s="51" t="str">
        <f>'Step 2 - Service Definition'!G5</f>
        <v>Control Logic
What conditions must be met for the PLC to initiate valve actuation?
How does the PLC differentiate between normal operation, ESD, and maintenance modes?
What internal logic governs valve sequencing (e.g., suction/discharge close before bypass open)?
State Transitions
How does the PLC handle transitions between operational states (e.g., delivery to ESD)?
Are there timers, interlocks, or permissives involved in these transitions?
Pressure Event Handling
What logic is used to detect and respond to discharge overpressure?
Under what conditions is the bypass valve opened for recycle?
Manual Overrides and Operator Interaction
Can operators override PLC decisions via HMI or SCADA?
What logic ensures safe override handling and prevents conflicting commands?
Validation and Fault Handling
How does the PLC validate successful valve actuation?
What logic is triggered if valve position feedback does not match commanded state?</v>
      </c>
      <c r="F10" s="51" t="str">
        <f>'Step 2 - Service Definition'!H5</f>
        <v>Valve Control Commands
What types of signals are sent to valve actuators (e.g., digital open/close, analog position)?
Are commands issued directly from the PLC or routed through intermediary devices?
Are these signals transmitted via hardwired I/O or digital communications?
If digital, what protocols are used (e.g., Ethernet/IP, Profibus, Modbus RTU)?
Actuator Interface
What is the interface between the PLC and valve actuators (e.g., solenoid drivers, motor controllers)?
Are there status signals returned from actuators confirming execution?
Feedback and Confirmation
How does the PLC receive confirmation of valve movement or position?
Are there alarms or fault codes generated for failed actuation?
Data Reporting
What valve status data is reported to SCADA or HMI?
Is valve activity logged for historical or diagnostic purposes?
Alarm and Notification
What alarms are generated for valve position mismatches or actuation failures?
How are these alarms prioritized and communicated to operators?</v>
      </c>
      <c r="G10" s="8"/>
      <c r="H10" s="196"/>
      <c r="I10" s="197"/>
      <c r="J10" s="197"/>
      <c r="K10" s="197"/>
      <c r="L10" s="197"/>
      <c r="M10" s="197"/>
      <c r="N10" s="198"/>
    </row>
    <row r="11" spans="1:29" ht="17.100000000000001" customHeight="1" x14ac:dyDescent="0.25">
      <c r="A11" s="95"/>
      <c r="B11" s="231"/>
      <c r="C11" s="231"/>
      <c r="D11" s="52" t="s">
        <v>63</v>
      </c>
      <c r="E11" s="52" t="s">
        <v>64</v>
      </c>
      <c r="F11" s="57"/>
      <c r="G11" s="8"/>
      <c r="H11" s="23"/>
      <c r="I11" s="23"/>
      <c r="J11" s="23"/>
      <c r="K11" s="23"/>
      <c r="L11" s="23"/>
      <c r="M11" s="23"/>
      <c r="N11" s="23"/>
    </row>
    <row r="12" spans="1:29" ht="207.95" customHeight="1" x14ac:dyDescent="0.25">
      <c r="A12" s="95"/>
      <c r="B12" s="231"/>
      <c r="C12" s="232"/>
      <c r="D12" s="51" t="s">
        <v>65</v>
      </c>
      <c r="E12" s="51" t="s">
        <v>66</v>
      </c>
      <c r="F12" s="57"/>
      <c r="G12" s="8"/>
      <c r="H12" s="23"/>
      <c r="I12" s="23"/>
      <c r="J12" s="23"/>
      <c r="K12" s="23"/>
      <c r="L12" s="23"/>
      <c r="M12" s="23"/>
      <c r="N12" s="23"/>
    </row>
    <row r="13" spans="1:29" ht="207.95" customHeight="1" x14ac:dyDescent="0.25">
      <c r="A13" s="95"/>
      <c r="B13" s="231"/>
      <c r="C13" s="230" t="str">
        <f>'Step 1 - System Definition'!O5</f>
        <v>STN PLC: Gas Cooling (Unit Discharge)</v>
      </c>
      <c r="D13" s="35" t="str">
        <f>'Step 2 - Service Definition'!F6</f>
        <v>Temperature Sensing
What types of sensors are used to measure unit discharge header gas temperature?
What types of sensors are used to measure cooling fan assembly discharge temperature?
Are these sensors analog (e.g., 4–20 mA) or digital (e.g., RTD with smart transmitter)?
Signal Transmission
Are these temperature signals transmitted via hardwired I/O or digital communications?
If digital, what protocols are used (e.g., Ethernet/IP, Profibus, Modbus RTU)?
Are there any signal conditioning or conversion devices involved?
I/O Architecture
Are the sensors connected through local I/O or remote I/O modules?
What is the update rate or polling frequency for temperature data?
Is there diagnostic feedback on sensor health or signal integrity?
Environmental and System Dependencies
Is the availability of cooling medium (e.g., ambient air, fan readiness) monitored?
Are there permissives or interlocks that must be satisfied before fan operation?</v>
      </c>
      <c r="E13" s="51" t="str">
        <f>'Step 2 - Service Definition'!G6</f>
        <v>Temperature Control Logic
What is the temperature setpoint for station discharge at the mainline tie-in?
How does the PLC determine when to start or stop cooling fans?
Is fan operation staged or modulated based on temperature deviation?
Fan Control Strategy
Are fans operated in discrete steps (e.g., on/off) or continuously via VFD speed control?
Is there a priority or sequencing logic for multiple fan units?
State Transitions and Fault Handling
What logic governs transitions between cooling states (e.g., idle, partial, full cooling)?
How does the PLC respond to sensor faults or out-of-range readings?
Manual Overrides and Operator Interaction
Can operators manually start/stop fans via HMI or SCADA?
What safeguards exist to prevent conflicting commands or unsafe operation?
Performance Monitoring
Does the PLC calculate cooling effectiveness or efficiency?
Are there internal diagnostics or performance thresholds that trigger alarms?</v>
      </c>
      <c r="F13" s="51" t="str">
        <f>'Step 2 - Service Definition'!H6</f>
        <v>Fan Motor Control
What type of control signals are sent to fan motors (e.g., digital start/stop, analog speed)?
Are fan motors controlled via MCC starters or VFDs?
Signal Transmission
Are control signals transmitted via hardwired I/O or digital communications?
If digital, what protocols are used (e.g., Ethernet/IP, Profibus, Modbus RTU)?
Feedback and Confirmation
How does the PLC confirm fan motor status (e.g., running, faulted)?
Are there feedback signals from MCCs or VFDs indicating successful execution?
Alarm and Notification
What alarms are generated for fan motor faults or cooling failures?
How are these alarms communicated to operators (e.g., SCADA, local HMI)?
Data Logging and Reporting
Is fan operation logged for historical analysis?
What data points are recorded (e.g., run time, temperature trends, control actions)?</v>
      </c>
      <c r="G13" s="8"/>
    </row>
    <row r="14" spans="1:29" ht="17.100000000000001" customHeight="1" x14ac:dyDescent="0.25">
      <c r="A14" s="95"/>
      <c r="B14" s="231"/>
      <c r="C14" s="231"/>
      <c r="D14" s="52" t="s">
        <v>63</v>
      </c>
      <c r="E14" s="52" t="s">
        <v>64</v>
      </c>
      <c r="F14" s="57"/>
      <c r="G14" s="8"/>
    </row>
    <row r="15" spans="1:29" ht="207.95" customHeight="1" x14ac:dyDescent="0.25">
      <c r="A15" s="95"/>
      <c r="B15" s="231"/>
      <c r="C15" s="232"/>
      <c r="D15" s="51" t="s">
        <v>65</v>
      </c>
      <c r="E15" s="51" t="s">
        <v>66</v>
      </c>
      <c r="F15" s="57"/>
      <c r="G15" s="8"/>
    </row>
    <row r="16" spans="1:29" ht="207.95" customHeight="1" x14ac:dyDescent="0.25">
      <c r="A16" s="95"/>
      <c r="B16" s="231"/>
      <c r="C16" s="230" t="str">
        <f>'Step 1 - System Definition'!O6</f>
        <v>STN PLC: Fuel Gas Supply</v>
      </c>
      <c r="D16" s="35" t="str">
        <f>'Step 2 - Service Definition'!F7</f>
        <v>Instrumentation and Measurements
What types of sensors are used to measure:
Fuel gas inlet pressure
Regulator bank output pressure
Fuel gas temperature
Filter differential pressure
Are these sensors analog (e.g., 4–20 mA) or digital (e.g., smart transmitters)?
Signal Transmission
Are these signals transmitted via hardwired I/O or digital communications?
If digital, what protocols are used (e.g., Ethernet/IP, Profibus, Modbus RTU)?
I/O Architecture
Are the sensors connected through local I/O or remote I/O modules?
What is the polling frequency or update rate for each parameter?
Is there diagnostic feedback on sensor health or signal integrity?
Environmental and System Dependencies
Are there permissives or interlocks that must be satisfied before fuel gas supply is enabled?
Is the availability of fuel gas supply monitored digitally (e.g., upstream pressure availability)?</v>
      </c>
      <c r="E16" s="51" t="str">
        <f>'Step 2 - Service Definition'!G7</f>
        <v>Control Logic
What are the setpoints or thresholds for fuel gas pressure and temperature?
How does the PLC determine when to open, modulate, or close the fuel gas supply valve?
Is filtering differential pressure used to trigger maintenance alerts or flow adjustments?
State Transitions
How does the PLC respond to changes in fuel demand from Unit engines?
What logic governs transitions between normal operation, startup, and shutdown?
Fault Handling and Safety
What logic is triggered if inlet or outlet pressure is outside acceptable ranges?
How does the PLC respond to high differential pressure across filters?
Manual Overrides and Operator Interaction
Can operators manually control the fuel gas valve via HMI or SCADA?
What safeguards exist to prevent unsafe manual operation?
Performance Monitoring
Does the PLC calculate fuel gas flow rate or consumption trends?
Are there internal diagnostics or performance thresholds that trigger alarms?</v>
      </c>
      <c r="F16" s="51" t="str">
        <f>'Step 2 - Service Definition'!H7</f>
        <v>Valve Control
What type of control signals are sent to the fuel gas supply valve (e.g., digital open/close, analog modulation)?
Is the valve operated via solenoid, motorized actuator, or other mechanism?
Signal Transmission
Are control signals transmitted via hardwired I/O or digital communications?
If digital, what protocols are used (e.g., Ethernet/IP, Profibus, Modbus RTU)?
Feedback and Confirmation
How does the PLC confirm valve position or actuation status?
Are there feedback signals indicating valve faults or position mismatches?
Alarm and Notification
What alarms are generated for valve control failures or fuel gas supply issues?
How are these alarms communicated to operators (e.g., SCADA, local HMI)?
Data Logging and Reporting
Is valve operation and fuel gas supply data logged for historical analysis?
What data points are recorded (e.g., valve position, pressure trends, temperature)?</v>
      </c>
      <c r="G16" s="8"/>
    </row>
    <row r="17" spans="1:7" ht="17.100000000000001" customHeight="1" x14ac:dyDescent="0.25">
      <c r="A17" s="95"/>
      <c r="B17" s="231"/>
      <c r="C17" s="231"/>
      <c r="D17" s="52" t="s">
        <v>63</v>
      </c>
      <c r="E17" s="52" t="s">
        <v>64</v>
      </c>
      <c r="F17" s="57"/>
      <c r="G17" s="8"/>
    </row>
    <row r="18" spans="1:7" ht="207.95" customHeight="1" x14ac:dyDescent="0.25">
      <c r="A18" s="95"/>
      <c r="B18" s="231"/>
      <c r="C18" s="232"/>
      <c r="D18" s="51" t="s">
        <v>65</v>
      </c>
      <c r="E18" s="51" t="s">
        <v>66</v>
      </c>
      <c r="F18" s="57"/>
      <c r="G18" s="8"/>
    </row>
    <row r="19" spans="1:7" ht="207.95" customHeight="1" x14ac:dyDescent="0.25">
      <c r="A19" s="95"/>
      <c r="B19" s="231"/>
      <c r="C19" s="230" t="str">
        <f>'Step 1 - System Definition'!O7</f>
        <v>STN PLC: SCADA Telemetry/Cntrl Aggregator</v>
      </c>
      <c r="D19" s="35" t="str">
        <f>'Step 2 - Service Definition'!F8</f>
        <v>Telemetry Points
What instrumentation is used to measure:
Station flow rate
Suction/discharge pressures and temperatures
Valve positions (suction, discharge, bypass)
Unit speed and run status
Ancillary systems (e.g., instrument air pressure, AC power status)
ESD conditions
Are these sensors analog (e.g., 4–20 mA) or digital (e.g., smart transmitters)?
Signal Transmission
Are these signals transmitted via hardwired I/O or digital communications?
If digital, what protocols are used (e.g., Ethernet/IP, Profibus, Modbus RTU)?
I/O Architecture
Are telemetry points acquired via local I/O, remote I/O, or networked devices?
What is the polling frequency or update rate for each telemetry point?
Is there diagnostic feedback on signal integrity or device health?
Data Aggregation
How is data from multiple subsystems aggregated within the Station PLC?
Are there intermediary devices (e.g., RTUs, protocol converters) involved?
Alarm Inputs
How are alarms for critical systems (e.g., low instrument air, AC power loss) detected and transmitted?
Are alarm signals discrete or part of a digital message set?</v>
      </c>
      <c r="E19" s="51" t="str">
        <f>'Step 2 - Service Definition'!G8</f>
        <v>Telemetry Processing
How does the PLC process and validate incoming telemetry data?
Are there thresholds or conditions that trigger internal alarms or control actions?
SCADA Integration
What logic governs the formatting and transmission of telemetry data to SCADA servers?
How does the PLC handle communication loss or data transmission errors?
Control Command Handling
How does the PLC validate and execute control commands received from Gas Control?
Are there interlocks or permissives that must be satisfied before executing remote commands?
State Management
How does the PLC manage station state transitions (e.g., startup, shutdown, ESD)?
Is there logic to prioritize or sequence control actions?
Operator Interaction
How does the PLC differentiate between local operator commands and remote SCADA commands?
Are there safeguards to prevent conflicting or unsafe control actions?</v>
      </c>
      <c r="F19" s="51" t="str">
        <f>'Step 2 - Service Definition'!H8</f>
        <v>Control Capabilities
What control actions can Gas Control initiate via SCADA?
Unit start/stop
Valve open/close
Bypass % open/closed
Station volume and pressure setpoints
Signal Transmission
Are control signals transmitted via hardwired I/O or digital communications?
If digital, what protocols are used (e.g., Ethernet/IP, Profibus, Modbus RTU)?
Actuation Interface
How does the PLC interface with field devices (e.g., actuators, VFDs, MCCs) to execute control commands?
Are there intermediary control devices or relays involved?
Feedback and Confirmation
How does the PLC confirm successful execution of control commands?
Are feedback signals used to verify valve positions, motor status, or setpoint achievement?
Alarm and Notification
What alarms are generated for failed control actions or communication errors?
How are these alarms communicated to Gas Control and local operators?
Data Logging and Reporting
Is control activity logged for historical analysis?
What data points are recorded (e.g., command source, timestamp, execution status)?</v>
      </c>
      <c r="G19" s="8"/>
    </row>
    <row r="20" spans="1:7" ht="17.100000000000001" customHeight="1" x14ac:dyDescent="0.25">
      <c r="A20" s="95"/>
      <c r="B20" s="231"/>
      <c r="C20" s="231"/>
      <c r="D20" s="52" t="s">
        <v>63</v>
      </c>
      <c r="E20" s="52" t="s">
        <v>64</v>
      </c>
      <c r="F20" s="57"/>
      <c r="G20" s="8"/>
    </row>
    <row r="21" spans="1:7" ht="207.95" customHeight="1" x14ac:dyDescent="0.25">
      <c r="A21" s="95"/>
      <c r="B21" s="232"/>
      <c r="C21" s="232"/>
      <c r="D21" s="51" t="s">
        <v>65</v>
      </c>
      <c r="E21" s="51" t="s">
        <v>66</v>
      </c>
      <c r="F21" s="57"/>
      <c r="G21" s="8"/>
    </row>
    <row r="22" spans="1:7" ht="207.95" customHeight="1" x14ac:dyDescent="0.25">
      <c r="A22" s="95"/>
      <c r="B22" s="244" t="s">
        <v>38</v>
      </c>
      <c r="C22" s="230" t="str">
        <f>'Step 1 - System Definition'!O8</f>
        <v>Unit PLC: Safe Startup</v>
      </c>
      <c r="D22" s="35" t="str">
        <f>'Step 2 - Service Definition'!F9</f>
        <v>Start Commands &amp; Mode Selection
What sources provide the local/remote start command (local HMI, hardwired pushbutton, station PLC/SCADA)?
Are these start signals hardwired or digital communications? If digital, which protocols (e.g., Ethernet/IP, Profibus, Modbus RTU)?
ESD/Safety System &amp; Run Permissives
How are ESD/SIS healthy, trip status, and permissive inputs (2oo3 voting, device health) presented to the Unit PLC (hardwired contacts from Safety PLC vs. networked signals)?
Which permissives are mandatory before startup (e.g., lube oil pressure/temperature within range, seal gas/dry gas seal differential pressure, instrument air available, no active unit/station trips), and how are they instrumented?
Subsystem Health &amp; Readiness
Lube oil system: What pressure/temperature transmitters, pump status contacts (main/aux/DC/emergency), filter DP, and cooler status are read by the Unit PLC? Are signals hardwired or via digital comms (protocols)?
Seal gas / dry gas seals: What measurements (seal supply pressure, DP to process, buffer gas quality) and status indications are acquired? Signal type and protocol?
Purge &amp; Pressurization
What inputs confirm purge initiation/completion (timers, flow/pressure switches, breaker status for cranking/venting)?
How is compressor pressurization (settling-out, pre-pressurization) sensed (pressure transmitters on suction/discharge and casing)? Hardwired vs. digital (protocols)? 
Unit Valves &amp; Actuator Position Feedback
Which unit valves (fuel gas isolation, acceleration control valve, bleed/IGV, bypass/recycle on the unit skid) provide position/limit feedback to the Unit PLC, and how (discrete, analog positioner, smart actuator)?
Are these feedbacks hardwired or digital? If digital, what protocols? 
Machine Condition Monitoring
What vibration, bearing metal temperatures, and thermocouple arrays (for exhaust/firing temperature calculations) are ingested, and by what interface (direct analog, proximity probes via condition monitoring system, networked)?
Signal transmission type and protocol? 
Station-Level Dependencies
Which station systems (instrument air, AC power quality, station valving status) are required as permissives, and how are those points provided (local I/O from station devices vs. remote I/O vs. station PLC link)?
Are these signals hardwired or digital? If digital, which protocols?</v>
      </c>
      <c r="E22" s="51" t="str">
        <f>'Step 2 - Service Definition'!G9</f>
        <v>Startup State Machine &amp; Sequencing
What are the defined startup states (e.g., Pre-lube, Pre-pressurize, Purge, Ignition, Warm-up, Acceleration, FSNL, Ready-to-Load), and what entry/exit conditions transition between them?
How are timers, 2oo3 voting, and interlocks implemented within the Unit PLC for each state?
Purge, Ignition, and Fuel Introduction
What logic governs purge duration/completion and ignition permissives before fuel valves crack open?
How does the PLC schedule fuel flow (FSR/Fuel Stroke Reference) during firing, warm-up, and acceleration to prevent over-firing and control temperature/acceleration rates?
Temperature &amp; Speed Control
How are exhaust/firing temperature limits calculated/monitored (thermocouple voting, statistical rejection of failed sensors), and what control curves/schedules limit fuel during acceleration and loading?
How is speed/acceleration governed to reach full speed no-load (FSNL) and “synchronization-ready” (where applicable for generator drives; for compressor drives, load-ready)?
Subsystem Integrity During Startup
What protective logic ensures continuous lube oil supply (automatic pump switchover, minimum pressure/temperature, DP alarms) and seal gas integrity before and during acceleration?
How does the PLC react to low-low lube pressure or seal DP loss mid-start?
Anti-Surge / Recycle Coordination (Unit-Level)
During pressurization and initial flow, what coordination exists with anti-surge control or recycle valves to avoid surge while establishing load?
How are these valve actions sequenced relative to startup states?
Fault Handling &amp; Abort Criteria
What are the abort thresholds (vibration, overspeed, temperature, permissive loss) and post-abort actions (fuel cut, trip valves close, coast-down with pumps maintained)?
How does the PLC log and classify abort causes for subsequent analysis?
Operator Interaction
Which actions are operator-initiated (start request, permissive acknowledgement, manual overrides) versus fully automatic, and how are conflicts between local HMI and station commands resolved (priority rules)?</v>
      </c>
      <c r="F22" s="51" t="str">
        <f>'Step 2 - Service Definition'!H9</f>
        <v>Fuel Gas &amp; Combustion Control
What commands are issued to the Unit fuel gas valves (isolation, metering/acceleration control valve schedules), and what signal types are used (digital open/close, analog 4–20 mA, fieldbus to smart actuator)?
Are these control signals hardwired I/O or digital communications? If digital, what protocols (e.g., Ethernet/IP, Profibus, Modbus RTU)?
Subsystem Actuation
How does the Unit PLC command lube oil pumps (aux/emergency), seal gas boost systems, bleed/IGV positions, purge fans/cranking motors (as applicable to the package)?
Are these commands issued via MCC starters/relays (hardwired) or via drives/controllers over digital comms (protocols)?
Unit Valves (Non-fuel)
What unit valve actuation signals are sent (e.g., bleed valves, IGVs, unit bypass/recycle on skid), and through what interface (DO/AI, smart positioner)?
Are outputs hardwired or digital (protocols)?
Feedback &amp; Command Verification
What status/feedback signals (end-of-travel, actuator health, drive/MCC “run/fault”) are required by the PLC to close the loop on each command during startup?
How are failed actuation or position mismatch alarms generated and prioritized?
Data Logging &amp; Alarming
Which startup events (state entries, timer expirations, permissive checks, aborts) are logged with timestamps for post-event analysis?
How are alarms and alerts for startup deviations reported to the local HMI and, if applicable, to the station PLC/SCADA aggregator?</v>
      </c>
      <c r="G22" s="8"/>
    </row>
    <row r="23" spans="1:7" ht="17.100000000000001" customHeight="1" x14ac:dyDescent="0.25">
      <c r="A23" s="95"/>
      <c r="B23" s="231"/>
      <c r="C23" s="231"/>
      <c r="D23" s="52" t="s">
        <v>63</v>
      </c>
      <c r="E23" s="52" t="s">
        <v>64</v>
      </c>
      <c r="F23" s="57"/>
      <c r="G23" s="8"/>
    </row>
    <row r="24" spans="1:7" ht="207.95" customHeight="1" x14ac:dyDescent="0.25">
      <c r="A24" s="95"/>
      <c r="B24" s="231"/>
      <c r="C24" s="232"/>
      <c r="D24" s="51" t="s">
        <v>65</v>
      </c>
      <c r="E24" s="51" t="s">
        <v>66</v>
      </c>
      <c r="F24" s="57"/>
      <c r="G24" s="8"/>
    </row>
    <row r="25" spans="1:7" ht="207.95" customHeight="1" x14ac:dyDescent="0.25">
      <c r="A25" s="95"/>
      <c r="B25" s="231"/>
      <c r="C25" s="233" t="str">
        <f>'Step 1 - System Definition'!O9</f>
        <v>Unit PLC: Safe Idle, Shutdown</v>
      </c>
      <c r="D25" s="35" t="str">
        <f>'Step 2 - Service Definition'!F10</f>
        <v>Stop/Shutdown Command Sources
What are the sources of local and remote stop/shutdown commands (local HMI, hardwired panel, station PLC/SCADA)?
Are these signals transmitted via hardwired I/O or digital communications? If digital, what protocols are used (e.g., Ethernet/IP, Profibus, Modbus RTU)?
ESD/Safety &amp; Run Permissives
How are ESD/SIS health, trip status, and run permissives (instrument air available, station power quality, no active trips) provided to the Unit PLC (safety PLC hardwired contacts vs. networked)?
Which permissives must remain true during stop/shutdown (e.g., minimum lube pressure, seal differential pressure) to allow a controlled sequence rather than an immediate trip?
Unit &amp; Fuel Valve Position Feedback
What position/limit feedback is available for fuel gas isolation/metering valves, bleed valves, IGVs, and any unit recycle/vent/isolation valves?
Signal characteristics (discrete end-of-travel vs. analog positioner) and I/O path (local vs. remote)?
Lube Oil System Inputs
Which pressure, temperature, pump run/available, filter differential pressure, and cooler service signals are acquired?
Are auxiliary/emergency pump statuses provided as hardwired contacts or via MCC/drive diagnostics over communications?
Seal Gas / Dry Gas Seal Inputs
Which measurements (seal supply pressure, differential to process, flow/quality/alarm) confirm seal integrity during coast-down or pressurized hold?
Interface type and diagnostics (smart transmitters vs. conventional analog)?
Purge &amp; Cooldown Inputs
What inputs confirm purge initiation/completion (timers, fan/motor status, flow/pressure switches)?
What exhaust/casing temperatures, shaft speed, and bearing metal temperatures are monitored to determine cooldown completion and turning-gear engagement?
Compressor Pressure &amp; Anti-Surge Context
Which suction/discharge/casing pressure transmitters inform the PLC whether to maintain pressurized shutdown or proceed to depressurization?
What feedback exists from anti-surge/recycle valves to verify commanded positions?
Station/System Dependencies
Which station dependencies (instrument air header pressure, AC power quality, network link health) are provided to the Unit PLC, and how?
Are these signals transmitted via hardwired I/O or digital communications? If digital, what protocols are used (e.g., Ethernet/IP, Profibus, Modbus RTU)?
I/O Architecture &amp; Data Quality
Which points are local I/O versus remote I/O; what are the update rates/polling frequencies for critical signals (lube/seal, speed/temp)?
Are device health/diagnostic statuses from smart instruments available (e.g., sensor fault, range status), and by which interface?</v>
      </c>
      <c r="E25" s="51" t="str">
        <f>'Step 2 - Service Definition'!G10</f>
        <v>Shutdown Mode Selection &amp; Entry Criteria
What logic determines whether a Safe Idle, temporary pressurized shutdown, or depressurized shutdown is executed (operator selection, process state, station directives)?
Under what conditions is a controlled shutdown allowed vs. an ESD trip (loss of key permissives, severe vibration/temperature, overspeed)?
Fuel Ramp-Down and Trip Logic
How is fuel ramp-down scheduled (profiles, rate limits) to control exhaust temperature and acceleration during coast-down?
What conditions trigger an immediate fuel trip (valve slam-shut), and how does the PLC prevent thermal shock or over-temperature during the transition?
Cooldown &amp; Purge Sequencing
How does the PLC determine purge necessity, duration, and completion (timers, flow/pressure indications) for different shutdown modes?
What cooldown criteria (exhaust/casing temperature thresholds, shaft speed limits) gate progression to turning gear or final state declaration?
Lube Oil &amp; Seal Gas Management
What logic maintains lube oil flow/pressure/temperature throughout coast-down and post-stop (automatic pump switchover, min pressure interlocks)?
How is seal gas/dry gas seal differential pressure safeguarded during pressurized holds and depressurization?
Compressor Management (Anti-Surge / Pressure Transitions)
How are anti-surge and recycle valves sequenced to avoid surge during pressure changes as the unit decelerates or the casing vents?
What logic governs the steps to maintain pressurization vs. execute depressurization (isolation, vent, recycle close/open ordering)?
Turning Gear &amp; Rotational Management
What conditions (speed, oil temperature/pressure, bearing temperature) enable turning gear engagement; what timers and safeties are enforced?
How long is turning gear maintained, and what criteria release the unit to a full stopped state?
Fault Handling &amp; Abort Paths
What abort thresholds (low-low lube pressure, seal DP loss, high vibration, comms loss to critical actuators) force transition from controlled shutdown to trip?
How are post-abort actions prioritized (fuel isolation, valve closures, pump retention, alarm escalation)?
Operator Interaction &amp; Overrides
Which actions remain automatic, and which require operator confirmation (mode selection, hold pressurization)?
How are manual overrides handled to prevent conflicting commands (local vs. remote priority rules, permissive re-checks)?
Completion Declaration &amp; Reporting
What completion criteria (temperature/speed/pressure/valve states) define Safe Idle, Pressurized Shutdown, and Depressurized Shutdown?
How are events, timers, and interlock results recorded and time-stamped for post-event analysis?</v>
      </c>
      <c r="F25" s="51" t="str">
        <f>'Step 2 - Service Definition'!H10</f>
        <v>Fuel System Commands
What outputs drive fuel gas isolation and metering valves (close commands, ramp-down analog signals)?
Are these signals transmitted via hardwired I/O or digital communications? If digital, what protocols are used (e.g., Ethernet/IP, Profibus, Modbus RTU)?
Unit Valve Actuation
What commands are issued to bleed valves, IGVs, unit recycle/anti-surge, vent, and isolation valves during shutdown steps?
What output types are used (discrete DO, analog setpoint, smart actuator fieldbus), and how are interlocks enforced on command issuance?
Auxiliary Systems Control
How does the Unit PLC command lube oil pumps (main/aux/emergency), seal gas boost systems, and purge fans/cranking motors (where applicable)?
Are these actuations via MCC starters/relays, VFDs, or packaged controllers, and what feedback is required (run/fault)?
Turning Gear Engagement
What outputs engage/disengage turning gear; what sequencing ensures engagement only within safe speed/temperature windows?
How is turning gear runtime controlled (timers, temperature criteria)?
Feedback &amp; Command Verification
What return signals (end-of-travel, analog position, run/fault) must be received to verify successful actuation?
How are mismatch or failed-command conditions alarmed and handled in the sequence?
Alarm/Annunciation &amp; Logging
Which alarms (shutdown mode selected, permissive loss, trip cause) are generated and sent to local HMI and station aggregator?
What logs (state transitions, timer expirations, aborts, operator actions) are written, and how are they organized for post-run review?
Communications &amp; Pathing
Are these output commands transmitted via hardwired I/O or digital communications? If digital, what protocols are used (e.g., Ethernet/IP, Profibus, Modbus RTU)?
Are commands issued directly from the Unit PLC or routed through intermediary devices (drives, smart actuators, protocol gateways), and how is loss-of-comms handled?</v>
      </c>
      <c r="G25" s="8"/>
    </row>
    <row r="26" spans="1:7" ht="17.100000000000001" customHeight="1" x14ac:dyDescent="0.25">
      <c r="A26" s="95"/>
      <c r="B26" s="231"/>
      <c r="C26" s="231"/>
      <c r="D26" s="52" t="s">
        <v>63</v>
      </c>
      <c r="E26" s="52" t="s">
        <v>64</v>
      </c>
      <c r="F26" s="57"/>
      <c r="G26" s="8"/>
    </row>
    <row r="27" spans="1:7" ht="207.95" customHeight="1" x14ac:dyDescent="0.25">
      <c r="A27" s="95"/>
      <c r="B27" s="231"/>
      <c r="C27" s="232"/>
      <c r="D27" s="51" t="s">
        <v>65</v>
      </c>
      <c r="E27" s="51" t="s">
        <v>66</v>
      </c>
      <c r="F27" s="57"/>
      <c r="G27" s="8"/>
    </row>
    <row r="28" spans="1:7" ht="207.95" customHeight="1" x14ac:dyDescent="0.25">
      <c r="A28" s="95"/>
      <c r="B28" s="231"/>
      <c r="C28" s="230" t="str">
        <f>'Step 1 - System Definition'!O10</f>
        <v>Unit PLC: Unit Valves Control</v>
      </c>
      <c r="D28" s="35" t="str">
        <f>'Step 2 - Service Definition'!F11</f>
        <v>Valve Position &amp; Health Feedback
What position/limit feedback is available for suction, discharge, loading/recycle (anti‑surge), and vent valves (e.g., discrete end‑of‑travel, analog positioner, smart actuator diagnostics)?
Are these signals transmitted via hardwired I/O or digital communications? If digital, what protocols are used (e.g., Ethernet/IP, Profibus, Modbus RTU)?
Process Measurements Driving Valve Control
Which suction/discharge pressures, temperatures, and (if implemented) flow measurements are mapped to the compressor control envelope and used to command the loading/anti‑surge valve?
What update rates and voting or validation are used to ensure fast, accurate inputs during transients?
IGV/Bleed and Auxiliary Inputs (Unit Package)
For unit packages with IGVs/bleed, what actuator position and status inputs are available to the Unit PLC, and are they integrated with temperature/speed/fuel logic?
Are these signals hardwired or digital? If digital, which protocols?
Seal Gas / Dry Gas Seal Context Signals (Pressure Management)
What seal gas DP, supply pressure/flow, and condition inputs inform valve decisions during pressurization/depressurization (e.g., coordinating vent/isolations to protect seals)?
Interface type and diagnostics (smart transmitters vs. conventional)?
Unit/Station Interlocks &amp; Permissives Relevant to Valves
Which ESD/SIS and station-state inputs (instrument air availability, power quality) gate valve actuation sequences (e.g., prohibit opening a recycle without air, require isolation before vent)?
Are these signals hardwired or digital? If digital, which protocols?
I/O Architecture &amp; Device Health
Which points are local I/O versus remote I/O, and what diagnostic/health inputs (e.g., positioner faults, actuator pressure low, stroking time alarms) are reported to the Unit PLC?
Are device diagnostics obtained via HART/Fieldbus or discrete/alarm contacts?</v>
      </c>
      <c r="E28" s="51" t="str">
        <f>'Step 2 - Service Definition'!G11</f>
        <v>Compressor Map &amp; Anti‑Surge Strategy
How does the PLC compute the operating point (pressure vs. flow) and maintain margin to the surge control line, including pre‑emptive actions during fast transients?
What dynamic intervention features (e.g., velocity‑based pre‑open of recycle) are implemented to avoid crossing the surge line?
Startup/Purge/Pressurization Sequencing
What valve sequence ensures safe purge, controlled pressurization, and coordinated isolation/vent operations before first fire or coupling to load?
How are timers, permissives, and interlocks applied to each step, and what criteria allow progression? 
Run &amp; Load Management
During normal run, how is the loading (recycle/anti‑surge) valve modulated in response to demand changes, and what rate/limit constraints prevent instability (hunting, overshoot)?
How are IGV/bleed positions coordinated with recycle to maintain efficiency and temperature limits? 
Idle &amp; Shutdown Transitions
What logic handles transitions to idle or shutdown—including selection of pressurized vs. depressurized states—and how are isolation and vent valves sequenced to protect dry gas seals?
What abort paths (e.g., seal DP loss, low‑low lube pressure) force immediate valve closures or full recycle?
Fault Handling &amp; Validation
How does the PLC detect command/feedback mismatches (e.g., valve fails to move) and respond (reissue command, move to safe state, alarm)?
What SOE/historian elements log sequence steps, stroking times, and actuator faults for diagnostics and tuning?
Performance Tuning &amp; Testing
What procedures exist for valve stroke testing, response characterization, and PID tuning for anti‑surge control to ensure sub‑second action when required?
How are simulation/dynamic analyses used to verify station piping/valve performance during transients?</v>
      </c>
      <c r="F28" s="51" t="str">
        <f>'Step 2 - Service Definition'!H11</f>
        <v>Actuation Commands to Unit Valves
What outputs drive suction, discharge, loading/recycle (anti‑surge), and vent valves (discrete open/close, analog position setpoints, fieldbus writes to smart positioners)?
Are these signals transmitted via hardwired I/O or digital communications? If digital, what protocols are used (e.g., Ethernet/IP, Profibus, Modbus RTU)? 
Speed &amp; Responsiveness Requirements (Anti‑Surge)
What stroking time targets and fail‑safe behaviors are specified for the recycle valve to arrest surge (e.g., &lt;1 s to capacity, double‑acting actuators, boosters/checks)?
How are noise/vibration attenuation features managed (trim selection) while maintaining response?
IGV/Bleed Valve Outputs (If Applicable)
What analog/discrete commands position IGVs and bleed valves, and how are these synchronized with fuel/speed loops during transients?
What feedback closure logic confirms commanded vs. actual positions before subsequent steps proceed?
Isolation &amp; Vent Control for Pressure States
How does the PLC sequence isolation and vent valves to establish or release casing pressure (pressurized hold vs. controlled depressurization), and what safeguards protect dry gas seals?
What outputs keep seal support viable during pressure changes (e.g., hold recycle partially open to maintain flow paths)?
Command Verification &amp; Alarm/Annunciation
What return signals (end‑of‑travel, LVDT position, actuator “run/fault”) verify successful actuation, and how are mismatch alarms prioritized?
How are events and SOEs reported to local HMI and, if applicable, station aggregation layers?</v>
      </c>
      <c r="G28" s="8"/>
    </row>
    <row r="29" spans="1:7" ht="17.100000000000001" customHeight="1" x14ac:dyDescent="0.25">
      <c r="A29" s="95"/>
      <c r="B29" s="231"/>
      <c r="C29" s="231"/>
      <c r="D29" s="52" t="s">
        <v>63</v>
      </c>
      <c r="E29" s="52" t="s">
        <v>64</v>
      </c>
      <c r="F29" s="57"/>
      <c r="G29" s="8"/>
    </row>
    <row r="30" spans="1:7" ht="207.95" customHeight="1" x14ac:dyDescent="0.25">
      <c r="A30" s="95"/>
      <c r="B30" s="231"/>
      <c r="C30" s="232"/>
      <c r="D30" s="51" t="s">
        <v>65</v>
      </c>
      <c r="E30" s="51" t="s">
        <v>66</v>
      </c>
      <c r="F30" s="57"/>
      <c r="G30" s="8"/>
    </row>
    <row r="31" spans="1:7" ht="207.95" customHeight="1" x14ac:dyDescent="0.25">
      <c r="A31" s="95"/>
      <c r="B31" s="231"/>
      <c r="C31" s="230" t="str">
        <f>'Step 1 - System Definition'!O11</f>
        <v>Unit PLC: Unit Fuel Gas Control</v>
      </c>
      <c r="D31" s="35" t="str">
        <f>'Step 2 - Service Definition'!F12</f>
        <v>Setpoint Sources &amp; Paths
What speed, discharge pressure, or suction pressure setpoints can the Unit PLC accept (local HMI, station workstation, Station PLC, Gas Control via SCADA)?
Are these signals transmitted via hardwired I/O or digital communications? If digital, what protocols are used (e.g., Ethernet/IP, Profibus, Modbus RTU)?
Process Measurements for Control &amp; Limits
Which measured variables drive the PI/PID hierarchy (e.g., shaft speed, compressor discharge/suction pressure, exhaust/firing temperature, compressor discharge pressure/CPD)?
What update rates, voting/validation, and range/health diagnostics apply to these inputs?
Fuel Train Instrumentation &amp; Feedback
What feedback exists from the fuel gas metering valve(s) and any acceleration control valve (ASCV) (e.g., LVDT/positioner signal, valve status/fault, stroking time)?
What signals confirm primary/secondary shutoff valve health and readiness (open/close proof, pilot air/actuator pressure, leak‑tightness checks)?
Are these signals hardwired or digital? If digital, which protocols?
Fuel Properties &amp; Compensation Inputs
How are fuel pressure, temperature, heating value, or mass‑flow (if available) measured and used for density/energy compensation in the fuel control loop?
Interlocks &amp; Permissives Relevant to Fuel Control
Which ESD/SIS and station‑state permissives (instrument air available, AC power quality, no active trips) gate fuel delivery?
Are these signals hardwired or digital? If digital, which protocols?
Coordination Inputs (Unit Valves &amp; Anti‑Surge)
What inputs from IGV/bleed or anti‑surge/recycle logic influence fuel demand or limit scheduling during transients?
I/O Topology &amp; Device Health
Which points are local I/O versus remote I/O; what device‑level diagnostics (positioner fault, actuator pressure low) reach the Unit PLC?
Are smart instrument diagnostics accessed via HART/Fieldbus or discrete alarms?</v>
      </c>
      <c r="E31" s="51" t="str">
        <f>'Step 2 - Service Definition'!G12</f>
        <v>Control Architecture &amp; Hierarchy
How is the PI/PID hierarchy structured (e.g., pressure loop cascades to speed, or speed loop limited by temperature/acceleration)?
What logic handles setpoint selection/priority when multiple sources are present (local vs. Station PLC vs. Gas Control)?
Setpoint Management &amp; Bumpless Transfer
How are setpoint changes filtered/ramped; what bumpless transfer strategies avoid fuel step changes when switching control modes or sources?
Limiters &amp; Schedulers
What limit functions (firing/exhaust temperature caps, acceleration/deceleration limits, overspeed protection) constrain fuel demand?
How are ambient/CPD conditions used to schedule fuel during load ramps?
Fuel‑Valve Command Strategy
How does the PLC convert fuel demand into valve position (e.g., FSR‑like demand to metering valve stroke), and what rate limits and deadband are applied to prevent hunting?
Pressure‑Control Modes (Discharge vs. Suction)
Under which conditions is discharge pressure vs. suction pressure control selected, and how does the PLC prevent interactions with anti‑surge control?
Transient Handling &amp; Anti‑Surge Coordination
During rapid transients (start, step changes, trips on neighboring units), how is fuel demand coordinated with recycle/IGV actions to avoid surge and temperature overshoot?
Fault Handling &amp; Fallbacks
What faults (loss of feedback, valve not tracking, sensor failure) trigger fallback control (open‑loop safeguarding, safe fuel cutback/close)?
How are abort thresholds defined and what post‑abort actions are sequenced?
Operator Interaction &amp; Overrides
Which actions remain automatic, and which require operator confirmation (e.g., switching control mode, applying new setpoints)?
How are manual overrides reconciled with automatic fuel control to prevent conflicts?
Performance Monitoring &amp; Tuning
What tuning procedures (gain/ti/t d, valve characterization, feedforward) and test routines (step/ramp tests) are used to verify stability across operating ranges?
How are events, sequence steps, and controller outputs recorded for analysis (SOE/historian)?</v>
      </c>
      <c r="F31" s="51" t="str">
        <f>'Step 2 - Service Definition'!H12</f>
        <v>Fuel Metering &amp; Acceleration Control Valve Commands
What outputs drive the fuel gas metering valve(s) and ASCV (analog 4–20 mA, discrete open/close, fieldbus to smart positioners)?
Are these signals transmitted via hardwired I/O or digital communications? If digital, what protocols are used (e.g., Ethernet/IP, Profibus, Modbus RTU)?
Primary/Secondary Shutoff &amp; Pilot Systems
What outputs control primary/secondary fuel shutoff valves, pilot air solenoids, and vent valves for safety and purge functions?
Command Verification &amp; Safety Confirmation
What return signals (LVDT position, end‑of‑travel, drive “run/fault”) verify successful actuation; how are mismatch/timeout conditions handled?
Response &amp; Rate Control
What stroking‑time targets, ramp limits, and fail‑safe behaviors are specified for fuel valves to ensure smooth transients and reliable surge avoidance?
Alarm/Annunciation &amp; Logging
Which alarms (valve not tracking, limit active, setpoint source change) are generated and how are events/SOEs logged and reported to local HMI or station aggregation?</v>
      </c>
      <c r="G31" s="8"/>
    </row>
    <row r="32" spans="1:7" ht="17.100000000000001" customHeight="1" x14ac:dyDescent="0.25">
      <c r="A32" s="95"/>
      <c r="B32" s="231"/>
      <c r="C32" s="231"/>
      <c r="D32" s="52" t="s">
        <v>63</v>
      </c>
      <c r="E32" s="52" t="s">
        <v>64</v>
      </c>
      <c r="F32" s="57"/>
      <c r="G32" s="8"/>
    </row>
    <row r="33" spans="1:7" ht="207.95" customHeight="1" x14ac:dyDescent="0.25">
      <c r="A33" s="95"/>
      <c r="B33" s="231"/>
      <c r="C33" s="232"/>
      <c r="D33" s="51" t="s">
        <v>65</v>
      </c>
      <c r="E33" s="51" t="s">
        <v>66</v>
      </c>
      <c r="F33" s="57"/>
      <c r="G33" s="8"/>
    </row>
    <row r="34" spans="1:7" ht="207.95" customHeight="1" x14ac:dyDescent="0.25">
      <c r="A34" s="95"/>
      <c r="B34" s="231"/>
      <c r="C34" s="230" t="str">
        <f>'Step 1 - System Definition'!O12</f>
        <v>Unit PLC: Delivery Control (Speed, DisPress, SucPress)</v>
      </c>
      <c r="D34" s="35" t="str">
        <f>'Step 2 - Service Definition'!F13</f>
        <v>Setpoint Sources &amp; Interfaces
What setpoints can the Unit PLC accept: speed, discharge pressure, suction pressure?
What are the source paths (local HMI, station workstation, Station PLC, Gas Control/SCADA)?
Are these signals transmitted via hardwired I/O or digital communications? If digital, what protocols are used (e.g., Ethernet/IP, Profibus, Modbus RTU)?
Primary Control Measurements
Speed feedback: type (magnetic pickup/encoder), number of channels, update rate, voting/validation.
Pressure feedbacks: suction/discharge transmitters (range, accuracy), update rate, diagnostics (sensor health, out‑of‑range).
Temperature/firing/exhaust measurements used for limiters or scheduling.
Fuel Train &amp; Valve Feedback
Fuel metering valve feedback (LVDT/positioner, end‑of‑travel status, stroking‑time indication).
Acceleration control valve (ASCV) feedback if present.
Shutoff/pilot/vent valve statuses and permissives (proof‑closed/open, pilot air/actuator pressure).
Are these signals hardwired or digital? If digital, which protocols? (e.g., 4–20 mA + HART, Foundation Fieldbus, Ethernet/IP).
Fuel Properties &amp; Compensation Inputs
Availability of fuel pressure, temperature, gas composition/heating value, and/or mass‑flow—used for density/energy compensation or feedforward.
Interlocks &amp; Permissives
Which ESD/SIS and station‑state permissives (instrument air, AC power, no active trips) gate fuel delivery?
How are overspeed, acceleration, and temperature limit inputs presented to the control hierarchy?
Coordination Inputs (Unit Valves &amp; Anti‑Surge)
What signals from IGV/bleed and anti‑surge/recycle control are read to prevent control conflicts (e.g., limiting fuel when recycle is forced open)?
I/O Architecture &amp; Diagnostics
Which points are local vs. remote I/O; what device‑level diagnostics (positioner fault, actuator pressure low) are mapped to the Unit PLC?
How are instrument diagnostics accessed (HART/Fieldbus, discrete alarms), and how is SOE timestamping handled?</v>
      </c>
      <c r="E34" s="51" t="str">
        <f>'Step 2 - Service Definition'!G13</f>
        <v>Mode Selection &amp; Arbitration
How is control mode chosen (speed vs. discharge vs. suction)—operator selection, automatic selection rules, or station directives?
What priority/override logic resolves conflicting setpoint sources (local vs. Station PLC vs. Gas Control)?
How is bumpless transfer implemented when changing modes/sources?
Control Hierarchy &amp; Cascades
What PI/PID cascade architecture is used (e.g., pressure loop cascades to speed, or speed loop constrained by temperature/acceleration limits)?
How are limiters/schedulers (firing/exhaust temperature caps, acceleration limits, overspeed protection) integrated with fuel demand?
Setpoint Handling &amp; Ramps
How are setpoint changes ramped/filtered to prevent fuel steps and compressor instability?
Are feedforward terms (e.g., density/energy compensation, CPD‑based scheduling) applied on large demand changes?
Transient &amp; Surge Avoidance
How does the PLC coordinate fuel with anti‑surge/recycle and IGV/bleed actions during fast transients (startup, load steps, station upsets)?
What surge margin policies or pre‑emptive actions are triggered by rapid movement toward the surge control line?
Pressure Mode Behavior
Under what conditions is discharge pressure control favored (delivery objectives) vs. suction pressure control (header stability)?
How does the PLC prevent loop interaction (pressure mode vs. anti‑surge and speed governing)?
Fault Handling &amp; Fallbacks
What sensor/actuator faults cause fallback strategies (open‑loop limitation, safe fuel cutback/close), and what abort thresholds exist?
How are command/feedback mismatches (valve not tracking, slow response) detected and resolved?
Operator Interaction
Which actions are automatic, and which require operator confirmation (setpoint changes, mode transitions)?
How are manual overrides reconciled with automatic fuel control to avoid conflicts?
Performance Monitoring &amp; Tuning
What tuning procedures (gain/ti/td, valve characterization) and test routines (step/ramp tests) verify stability across operating ranges?
How are events, control outputs, limit activations, and sequence steps recorded (SOE/historian) for post‑run analysis?</v>
      </c>
      <c r="F34" s="51" t="str">
        <f>'Step 2 - Service Definition'!H13</f>
        <v>Fuel Metering &amp; ASCV Commands
What outputs drive the fuel metering valve(s) and ASCV (analog 4–20 mA, discrete open/close, fieldbus to smart positioners)?
Are these signals transmitted via hardwired I/O or digital communications? If digital, what protocols are used (e.g., Ethernet/IP, Profibus, Modbus RTU)?
Safety &amp; Purge Elements
What outputs command primary/secondary fuel shutoff valves, pilot air solenoids, and fuel vent valves for safety, purge, and light‑off checks?
Response Shaping
What stroking‑time targets, rate limits, and fail‑safe behaviors are specified for fuel valves to ensure smooth transients and reliable surge avoidance?
Command Verification
What return signals (LVDT position, end‑of‑travel, actuator “run/fault”) confirm actuation; how are mismatch/timeout alarms handled?
Annunciation &amp; Logging
Which alarms (valve not tracking, source change, limit active) and events/SOEs are published to local HMI and, when applicable, to Station PLC/SCADA aggregation?</v>
      </c>
      <c r="G34" s="8"/>
    </row>
    <row r="35" spans="1:7" ht="17.100000000000001" customHeight="1" x14ac:dyDescent="0.25">
      <c r="A35" s="95"/>
      <c r="B35" s="231"/>
      <c r="C35" s="231"/>
      <c r="D35" s="52" t="s">
        <v>63</v>
      </c>
      <c r="E35" s="52" t="s">
        <v>64</v>
      </c>
      <c r="F35" s="57"/>
      <c r="G35" s="8"/>
    </row>
    <row r="36" spans="1:7" ht="207.95" customHeight="1" x14ac:dyDescent="0.25">
      <c r="A36" s="95"/>
      <c r="B36" s="231"/>
      <c r="C36" s="232"/>
      <c r="D36" s="51" t="s">
        <v>65</v>
      </c>
      <c r="E36" s="51" t="s">
        <v>66</v>
      </c>
      <c r="F36" s="57"/>
      <c r="G36" s="8"/>
    </row>
    <row r="37" spans="1:7" ht="207.95" customHeight="1" x14ac:dyDescent="0.25">
      <c r="A37" s="95"/>
      <c r="B37" s="231"/>
      <c r="C37" s="230" t="str">
        <f>'Step 1 - System Definition'!O13</f>
        <v>Unit PLC + ASCV: Surge Detection (Compressor)</v>
      </c>
      <c r="D37" s="35" t="str">
        <f>'Step 2 - Service Definition'!F14</f>
        <v>Core Measurements (Sensing)
Which instruments provide suction pressure (Ps), discharge pressure (Pd), suction temperature (Ts), discharge temperature (Td), and inlet flow differential pressure (ΔP across flow element)?
What are each sensor’s range/accuracy, update rate, and signal type (e.g., 4–20 mA, HART, Fieldbus)?
How are rate‑of‑change (dP/dt) and derived flow/head values computed (in PLC vs. smart transmitter)?
ASCV Position &amp; Health Feedback
What position feedback is available (e.g., analog position, LVDT, digital from positioner) for the ASCV?
What actuator health signals (air/hydraulic pressure, “run/fault”, stroking‑time diagnostic) are returned to the PLC?
Signal Pathing &amp; Protocols
For each measurement and ASCV feedback: Are these signals transmitted via hardwired I/O or digital communications? If digital, what protocols are used (e.g., Ethernet/IP, Profibus, Modbus RTU)?
Are there remote I/O nodes near the skid to reduce latency? What scan times are configured?
Validation &amp; Voting
Is there sensor validation (range checks, plausibility against neighboring transmitters, redundancy/voting)?
What filters (median, low‑pass) and debounce timers are applied to avoid false surge detection?
Context &amp; Interlocks
Which permissives or interlocks must be true before ASCV manipulation (e.g., instrument air available, ESD/SIS healthy, valve not inhibited)?
Are there coordination inputs from unit fuel control, IGV/bleed control, or station anti‑surge supervisor?
Timestamping &amp; Historian
How are SOE timestamps captured for surge events and ASCV actions (time resolution, clock sync)?
Are raw and computed signals logged (Pd, Ps, Ts/Td, ΔP, dP/dt, ASCV %) for post‑event analysis?</v>
      </c>
      <c r="E37" s="51" t="str">
        <f>'Step 2 - Service Definition'!G14</f>
        <v>Surge Detection Algorithm
What criteria define surge onset (e.g., rapid Pd drop with Ps rise, ΔP spikes, flow reversal signature, head‑flow trajectory vs. control line)?
How are thresholds, time windows, and rate‑of‑change limits set per operating speed and temperature?
Incipient vs. Confirmed Surge
How does logic distinguish incipient surge (single transient) from confirmed surge (multiple transients within a short timeframe)?
What event counters and reset timers are used to escalate response?
ASCV Command Strategy
On detection, what is the incremental open schedule (e.g., step size %, max rate, minimum hold time)?
Under repeated transients, what triggers full‑open command and how long is it held before reassessment?
Coordination with Unit Controls
How is ASCV motion coordinated with fuel demand, IGV/bleed, and speed/pressure modes to avoid conflicts (e.g., limiting fuel during recycle)?
Are there feedforward actions (pre‑opening ASCV during known transients such as fast load rejections)?
Actuator Dynamics &amp; Limits
What are the target stroking times and positional accuracy for ASCV (sub‑second opening capability)?
How are rate limits, anti‑windup, and valve characterization (equal‑% or custom trim) applied in control outputs?
Fault Handling
What happens if ASCV feedback disagrees with command (mismatch, stalled actuator)?
What protective actions occur with loss of key sensors (Pd/Ps/ΔP), loss of instrument air, or positioner fault?
Shutdown Criteria
What conditions (e.g., N surge events in T seconds, unable to stabilize after full‑open) initiate unit shutdown or controlled rundown?
How are post‑shutdown purge/vent and seal protection handled?
Performance Monitoring &amp; Tuning
What procedures test surge detection (simulation, playback) and tune thresholds safely?
How are KPIs (surge event rate, recovery time, max excursion) calculated and reviewed?</v>
      </c>
      <c r="F37" s="51" t="str">
        <f>'Step 2 - Service Definition'!H14</f>
        <v>ASCV Enable &amp; Position Command
What outputs provide ASCV enable and percent‑open (e.g., analog setpoint to positioner, discrete enable/permit)?
Are these signals transmitted via hardwired I/O or digital communications? If digital, what protocols are used (e.g., Ethernet/IP, Profibus, Modbus RTU)?
Rate &amp; Step Control
How does the PLC enforce max opening rate, step size, and hold times for incremental actions?
Are trajectory profiles (ramp vs. step) selectable per event severity?
Command Verification
What return signals (actual position %, end‑of‑travel, “run/fault”) confirm actuation; how are mismatch/timeout alarms prioritized?
Fail‑Safe &amp; Overrides
What fail‑safe behaviors apply on loss of command power, loss of comms, or ESD (e.g., valve drives to a defined position)?
Can authorized operators inhibit ASCV commands (maintenance overrides), and how does the PLC record/announce this condition?
Alarm/Annunciation &amp; Logging
Which alarms (incipient surge detected, confirmed surge, ASCV full‑open, valve fault) are generated and how are SOEs/events logged and published to HMI/Station PLC?</v>
      </c>
      <c r="G37" s="8"/>
    </row>
    <row r="38" spans="1:7" ht="17.100000000000001" customHeight="1" x14ac:dyDescent="0.25">
      <c r="A38" s="95"/>
      <c r="B38" s="231"/>
      <c r="C38" s="231"/>
      <c r="D38" s="52" t="s">
        <v>63</v>
      </c>
      <c r="E38" s="52" t="s">
        <v>64</v>
      </c>
      <c r="F38" s="57"/>
    </row>
    <row r="39" spans="1:7" ht="207.95" customHeight="1" x14ac:dyDescent="0.25">
      <c r="A39" s="95"/>
      <c r="B39" s="231"/>
      <c r="C39" s="232"/>
      <c r="D39" s="51" t="s">
        <v>65</v>
      </c>
      <c r="E39" s="51" t="s">
        <v>66</v>
      </c>
      <c r="F39" s="59"/>
    </row>
    <row r="40" spans="1:7" ht="207.95" customHeight="1" x14ac:dyDescent="0.25">
      <c r="A40" s="95"/>
      <c r="B40" s="231"/>
      <c r="C40" s="230" t="str">
        <f>'Step 1 - System Definition'!O14</f>
        <v>Unit PLC + ASCV: Surge Avoidance (Compressor)</v>
      </c>
      <c r="D40" s="35" t="str">
        <f>'Step 2 - Service Definition'!F15</f>
        <v>Core Measurements
What sensors provide suction pressure, discharge pressure, suction temperature, discharge temperature, and inlet flow differential pressure?
What are the signal types (analog 4–20 mA, HART, digital fieldbus) and update rates for these measurements?
How is flow derived from differential pressure (in PLC or transmitter)?
ASCV Position &amp; Health Feedback
What feedback signals confirm ASCV position (analog %, discrete end-of-travel, LVDT)?
What diagnostics indicate actuator health (instrument air pressure, stroking time, fault status)?
Signal Transmission
Are these signals transmitted via hardwired I/O or digital communications? If digital, what protocols are used (e.g., Ethernet/IP, Profibus, Modbus RTU)?
Are remote I/O modules used to reduce latency?
Validation &amp; Redundancy
Are critical sensors (pressure, temperature, flow) redundant? If so, what voting logic or validation checks are applied?
What filtering (low-pass, median) is used to prevent false surge detection?
Permissives &amp; Interlocks
Which permissives must be satisfied before ASCV control is active (e.g., instrument air available, ESD system healthy)?
Are there coordination signals from fuel control, IGV/bleed, or station-level anti-surge logic?
Data Logging
How are raw and computed values (pressures, temperatures, flow, ASCV position) logged for surge event analysis?
Are SOE timestamps synchronized for surge-related actions?</v>
      </c>
      <c r="E40" s="51" t="str">
        <f>'Step 2 - Service Definition'!G15</f>
        <v>Surge Control Algorithm
How is the operating point calculated (speed and flow vs. discharge pressure)?
How is the surge limit line and surge control line defined and stored in the PLC?
Control Strategy
What PI/PID hierarchy governs ASCV opening (e.g., proportional opening as margin decreases)?
How are rate limits, deadbands, and anti-windup implemented to prevent instability?
Thresholds &amp; Escalation
What conditions trigger initial ASCV opening, full-open command, and unit shutdown?
How are repeated excursions beyond the surge control line handled?
Coordination with Other Controls
How does surge avoidance interact with fuel control, speed/pressure modes, and IGV/bleed positioning?
Are feedforward actions applied during known transients (e.g., rapid load changes)?
Fault Handling
What happens if ASCV fails to respond or position feedback disagrees with command?
What fallback logic applies if critical sensors fail?
Performance Monitoring
How is surge avoidance performance evaluated (e.g., surge margin, ASCV response time)?
Are tuning parameters (PID gains, thresholds) adjustable online or offline?</v>
      </c>
      <c r="F40" s="51" t="str">
        <f>'Step 2 - Service Definition'!H15</f>
        <v>ASCV Command
What outputs provide ASCV enable and position setpoint (% open)?
Are these signals transmitted via hardwired I/O or digital communications? If digital, what protocols are used (e.g., Ethernet/IP, Profibus, Modbus RTU)?
Rate &amp; Position Control
How does the PLC enforce maximum opening rate, step size, and position accuracy?
Are trajectory profiles (ramp vs. step) used for surge avoidance?
Command Verification
What feedback signals confirm ASCV movement (position %, end-of-travel, actuator health)?
How are mismatch or timeout alarms prioritized?
Fail-Safe Behavior
What position does ASCV default to on loss of command, loss of comms, or ESD trip?
Can operators inhibit ASCV control for maintenance, and how is this condition annunciated?
Alarm &amp; Logging
What alarms indicate surge control active, ASCV full-open, valve fault, or unit shutdown due to surge?
How are surge-related events logged and reported to local HMI and station SCADA?</v>
      </c>
      <c r="G40" s="8"/>
    </row>
    <row r="41" spans="1:7" ht="17.100000000000001" customHeight="1" x14ac:dyDescent="0.25">
      <c r="A41" s="95"/>
      <c r="B41" s="231"/>
      <c r="C41" s="231"/>
      <c r="D41" s="52" t="s">
        <v>63</v>
      </c>
      <c r="E41" s="52" t="s">
        <v>64</v>
      </c>
      <c r="F41" s="57"/>
    </row>
    <row r="42" spans="1:7" ht="207.95" customHeight="1" x14ac:dyDescent="0.25">
      <c r="A42" s="95"/>
      <c r="B42" s="231"/>
      <c r="C42" s="232"/>
      <c r="D42" s="51" t="s">
        <v>65</v>
      </c>
      <c r="E42" s="51" t="s">
        <v>66</v>
      </c>
      <c r="F42" s="59"/>
    </row>
    <row r="43" spans="1:7" ht="207.95" customHeight="1" x14ac:dyDescent="0.25">
      <c r="A43" s="95"/>
      <c r="B43" s="231"/>
      <c r="C43" s="230" t="str">
        <f>'Step 1 - System Definition'!O15</f>
        <v>Unit PLC: Seals System</v>
      </c>
      <c r="D43" s="35" t="str">
        <f>'Step 2 - Service Definition'!F16</f>
        <v>Seal/Separation Gas Supply &amp; Differential
Which transmitters measure seal gas supply pressure, separation/buffer gas pressure, and the differential pressures referenced to process (e.g., Pd–seal, Ps–seal)?
What are the ranges/accuracy and update rates of these measurements?
Flow Confirmation &amp; Quality
How is flow confirmed into each seal stream (primary, secondary, separation)—flow switch vs. transmitter?
Are there inputs for filter status (DP across filters), coalescer/knockout level/pressure, or heater/cooler service to verify gas quality?
Leakage &amp; Directionality
What signals confirm vent header pressure, leak detection, or reverse‑flow indicators (e.g., differential across labyrinths or carbon rings)?
Are bearing‑side ingress sensors (oil mist, gas detectors) monitored to infer seal path issues?
Valves, Regulators &amp; Pump/Booster Readback
What position/feedback signals exist for seal gas control valves, pressure‑reducing/back‑pressure regulators (smart positioners or discrete limit switches)?
Are pump/booster status inputs (run, fault, speed, discharge pressure) available?
Permissives &amp; Interlocks
Which instrument‑air, power quality, ESD/SIS‑healthy, and station/state permissives must be true before enabling seal system control?
Any unit‑state flags (startup, standby, pressurized hold, depressurization) that adjust seal logic thresholds?
Signal Transmission &amp; I/O Architecture
Are these signals transmitted via hardwired I/O or digital communications? If digital, what protocols are used (e.g., Ethernet/IP, Profibus, Modbus RTU)?
Which points are local I/O versus remote I/O at the skid; what are configured scan times for critical sensors?
Diagnostics &amp; Historian
Are device diagnostics (HART/fieldbus status, sensor health) mapped to the PLC?
How are SOE timestamps synchronized and what data sets (pressures, flows, DP, temperatures, valve positions) are logged for later analysis?</v>
      </c>
      <c r="E43" s="51" t="str">
        <f>'Step 2 - Service Definition'!G16</f>
        <v>Control Philosophy &amp; Setpoints
What setpoints/thresholds govern seal supply pressure, separation gas pressure, and minimum DP to process cavities?
Is there a priority/cascade (e.g., maintain DP first; then trim flow/pressure) and how is it implemented (PI/PID hierarchy)?
State‑Based Logic
How does logic adapt across startup, pressurization, steady run, recycle, idle/turning gear, shutdown (e.g., higher margins during transients, purge/flush steps)?
What actions maintain seal protection during low differential conditions (e.g., enable auxiliary supply path or booster, open specific control valves)?
Quality Management
How are filters/heaters/coolers incorporated (alarms, permissives, automatic changeover)?
What rules handle dew‑point/temperature limits and condensate detection in seal streams?
Directionality &amp; Leakage Control
What logic ensures flow direction (toward vents or back to process) and prevents reverse ingress into the seal cavity and bearing housing?
How are high vent header pressure or unexpected leakage rate handled (alarm/escalation, isolation, controlled rundown)?
Fault Handling &amp; Escalation
What faults (sensor failure, valve not tracking, booster fault, filter bypass) trigger conservative modes, trip thresholds, or unit shutdown?
How are command/feedback mismatches detected and resolved (retry, safe positioning, inhibit)?
Coordination with Unit &amp; Station Controls
How does seal control coordinate with fuel control, surge avoidance, unit valves, and station interlocks to avoid conflicting actions?
Are there feedforward steps during known transients (e.g., enabling separation gas or pre‑pressurizing seal streams before recycle)?
Performance Monitoring &amp; Tuning
What KPIs are tracked (e.g., seal DP margin, leak rate trends, vent header stability, booster uptime)?
How are PID gains, limits, and alarm thresholds reviewed and tuned (online vs. offline procedures)?</v>
      </c>
      <c r="F43" s="51" t="str">
        <f>'Step 2 - Service Definition'!H16</f>
        <v>Valve &amp; Regulator Commands
What outputs drive seal gas control valves and pressure‑reducing/back‑pressure regulators (analog setpoint, discrete open/close, fieldbus write)?
Are these signals transmitted via hardwired I/O or digital communications? If digital, what protocols are used (e.g., Ethernet/IP, Profibus, Modbus RTU)?
Pump/Booster Control
What commands start/stop seal gas pumps/boosters, select speed or capacity, and manage permissives (e.g., minimum suction/discharge pressure)?
What interlocks prevent starting against blocked flow or saturated filters?
Isolation &amp; Purge
What outputs drive isolation, bypass, and purge/flush valves for maintenance or transient protection?
How is sequencing enforced (pre‑checks, timing, confirmation) to avoid pressure shocks or contamination?
Command Verification &amp; Alarming
What return signals (valve position %, end‑of‑travel; pump “run/fault”; regulator status) confirm actuation?
How are mismatch/timeout alarms prioritized and annunciated to HMI/SCADA?
Fail‑Safe &amp; Overrides
What fail‑safe positions apply on loss of command power, loss of comms, or ESD (e.g., isolate or maintain minimum protective flow)?
Can operators inhibit or override seal commands (maintenance mode), and how does the PLC log/announce this condition?</v>
      </c>
      <c r="G43" s="8"/>
    </row>
    <row r="44" spans="1:7" ht="17.100000000000001" customHeight="1" x14ac:dyDescent="0.25">
      <c r="A44" s="95"/>
      <c r="B44" s="231"/>
      <c r="C44" s="231"/>
      <c r="D44" s="52" t="s">
        <v>63</v>
      </c>
      <c r="E44" s="52" t="s">
        <v>64</v>
      </c>
      <c r="F44" s="57"/>
    </row>
    <row r="45" spans="1:7" ht="207.95" customHeight="1" x14ac:dyDescent="0.25">
      <c r="A45" s="95"/>
      <c r="B45" s="231"/>
      <c r="C45" s="232"/>
      <c r="D45" s="51" t="s">
        <v>65</v>
      </c>
      <c r="E45" s="51" t="s">
        <v>66</v>
      </c>
      <c r="F45" s="59"/>
    </row>
    <row r="46" spans="1:7" ht="207.95" customHeight="1" x14ac:dyDescent="0.25">
      <c r="A46" s="95"/>
      <c r="B46" s="231"/>
      <c r="C46" s="230" t="str">
        <f>'Step 1 - System Definition'!O16</f>
        <v>Unit PLC: Lube Oil System</v>
      </c>
      <c r="D46" s="35" t="str">
        <f>'Step 2 - Service Definition'!F17</f>
        <v>Pressure &amp; Differential
What transmitters measure main lube header pressure and bearing supply pressure, and what low/low‑low thresholds are configured?
How is filter/cooler differential pressure measured and alarmed?
Temperature &amp; Cooling
What sensors measure reservoir oil temperature, bearing metal temperature proxies, and cooler inlet/outlet oil temperatures?
Are there inputs indicating cooler service (cooling water/air availability, fan status)?
Flow Confirmation
How is oil flow confirmation implemented (flow switches or transmitters per header/branch), and what ranges/update rates are specified?
Pump Feedback (Tiered Pumps)
What status/feedback is available for AC auxiliary pump, DC emergency pump, and shaft‑driven/main pump (run, fault, speed, current/voltage, actuator permissives)?
Are start permissives and auto‑switchover conditions captured as inputs?
Valve/Actuator Feedback
What position/limit feedback is provided for bypass, isolation, temperature control (bypass mixing), and cooler control valves?
Unit State &amp; Turning Gear
Which unit state flags (startup, run, cooldown, stopped, turning gear) are fed to lube control logic?
Are shaft speed and coast‑down timers available as inputs to lube sequencing?
Power &amp; Air Services
What inputs indicate AC/DC power quality/availability, instrument air (if pneumatic actuators are used), and any UPS status for critical I/O?
Filtering &amp; Cleanliness
Are filter DP, filter bypass indication, oil contamination/particle count, and moisture/water‑in‑oil sensors monitored?
Signal Transmission &amp; I/O Architecture
Are these signals transmitted via hardwired I/O or digital communications? If digital, what protocols are used (e.g., Ethernet/IP, Profibus, Modbus RTU)?
Which points are local I/O versus remote I/O, and what scan times are configured for critical sensors (pressure/temperature/flow)?
Diagnostics &amp; Historian
Are device diagnostics (HART/fieldbus status, sensor health) mapped to the PLC?
What SOE timestamping and trend logging (pressure, temperature, DP, pump status) are configured for post‑event analysis?</v>
      </c>
      <c r="E46" s="51" t="str">
        <f>'Step 2 - Service Definition'!G17</f>
        <v>Minimums &amp; Limits
What minimum header pressure and temperature ranges are enforced in each state (startup, run, cooldown, stopped)?
How are low and low‑low pressure trip/alarm setpoints defined and validated?
Pump Tiering &amp; Auto‑Switchover
What logic governs pump selection/tiering (main/shaft‑driven during run; AC auxiliary during startup/cooldown/low speed; DC emergency on low‑low pressure or power loss)?
How are auto‑switchover timers, interlocks, and re‑start inhibit handled to avoid rapid cycling?
Startup &amp; Pre‑Lube
What pre‑lube sequence ensures oil temperature/pressure readiness prior to turbine roll (e.g., warm‑up circulation, cooler bypass control)?
How are start permissives structured (reservoir level/temperature, filter DP within limits, auxiliary pump running)?
Run‑Time Cooling &amp; Temperature Control
How does the PLC regulate cooler fans/valves or mixing/bypass to maintain oil temperature setpoint across load changes?
Are feedforward actions applied for anticipated thermal transients (e.g., load ramp, recycle events)?
Coast‑Down &amp; Turning Gear
What coast‑down criteria (speed thresholds, timer) maintain auxiliary lube pressure until bearing safe temperature/pressure is reached?
How long is turning gear lube maintained, and what conditions release control to stopped state?
Fault Handling &amp; Trips
What faults (pump fail to start, valve not tracking, sensor failure, excessive filter DP) trigger alarms, conservative control, or unit trip?
How is command/feedback mismatch detected and resolved (retry, alternate path, safe stop)?
Cleanliness &amp; Conditioning
What actions occur on high filter DP or contamination detection (automatic filter changeover, bypass interlocks, alarm escalation)?
Are reservoir heaters or coolers sequenced to maintain viscosity/temperature limits?
Coordination with Other Unit Controls
How does lube control coordinate with fuel, surge avoidance, seal systems, and ESD/SIS logic to prevent conflicting actions?
What permissives are exported to unit start/stop sequences (e.g., “Lube Ready/Not Ready”)?
Performance Monitoring &amp; Tuning
What KPIs are tracked (e.g., pressure stability, temperature profile, filter DP trend, pump runtime/starts)?
How are PID gains, setpoints, and rate limits reviewed and tuned (online vs. offline procedures)?</v>
      </c>
      <c r="F46" s="51" t="str">
        <f>'Step 2 - Service Definition'!H17</f>
        <v>Pump Commands
What outputs start/stop AC auxiliary, DC emergency, and shaft/main pump permissives (contact closures, MCC start commands, VFD control)?
Are these signals transmitted via hardwired I/O or digital communications? If digital, what protocols are used (e.g., Ethernet/IP, Profibus, Modbus RTU)?
Cooler &amp; Temperature Control
What outputs position cooler control valves, bypass/mixing valves, and/or command cooler fans (analog setpoints, discrete signals)?
How are rate limits and fail‑safe positions enforced to avoid thermal shock?
Valve Actuation &amp; Isolation
What commands operate isolation/bypass/return valves during maintenance or abnormal conditions?
How is sequencing (pre‑checks, timing, confirmations) enforced for valve moves?
Command Verification &amp; Alarming
What return signals (valve position %, end‑of‑travel; pump “run/fault”; VFD status) confirm execution?
How are mismatch/timeout alarms prioritized and annunciated to HMI/SCADA?
Fail‑Safe &amp; Overrides
What fail‑safe behaviors apply on loss of command power, loss of comms, or ESD (e.g., start DC emergency pump, hold cooler bypass)?
Can authorized personnel inhibit lube outputs for maintenance, and how is that condition logged/announced?
Event Logging
What SOE entries and trend points (pressure, temperature, DP; pump starts/stops; valve moves) are recorded for diagnostics and post‑event review?</v>
      </c>
      <c r="G46" s="8"/>
    </row>
    <row r="47" spans="1:7" ht="17.100000000000001" customHeight="1" x14ac:dyDescent="0.25">
      <c r="A47" s="95"/>
      <c r="B47" s="231"/>
      <c r="C47" s="231"/>
      <c r="D47" s="52" t="s">
        <v>63</v>
      </c>
      <c r="E47" s="52" t="s">
        <v>64</v>
      </c>
      <c r="F47" s="57"/>
    </row>
    <row r="48" spans="1:7" ht="207.95" customHeight="1" x14ac:dyDescent="0.25">
      <c r="A48" s="95"/>
      <c r="B48" s="231"/>
      <c r="C48" s="232"/>
      <c r="D48" s="51" t="s">
        <v>65</v>
      </c>
      <c r="E48" s="51" t="s">
        <v>66</v>
      </c>
      <c r="F48" s="59"/>
    </row>
    <row r="49" spans="1:7" ht="207.95" customHeight="1" x14ac:dyDescent="0.25">
      <c r="A49" s="95"/>
      <c r="B49" s="231"/>
      <c r="C49" s="230" t="str">
        <f>'Step 1 - System Definition'!O17</f>
        <v>Unit PLC + Discrete Cntrl: Vibration Detection</v>
      </c>
      <c r="D49" s="35" t="str">
        <f>'Step 2 - Service Definition'!F18</f>
        <v>Sensor Suite &amp; Channels
Which proximity probe channels (radial X/Y per bearing, thrust position) and seismic accelerometer channels (casing/body) are present, and how are they mapped to engine vs compressor segments?
What are each channel’s measurement units (e.g., mils/μm peak‑to‑peak, mils for thrust, in/s or g RMS/peak) and update rates?
Analytics / Monitor Outputs
What outputs from the vibration monitor (e.g., rack/module) are available to the Unit PLC: overall amplitude, band alarms, status (OK/Not OK), alert/danger relays, vector/phase (if provided), trip/latched trip?
Are alarm setpoints (Alert/Danger) stored in the monitor or in the PLC; how are they accessed?
Signal Transmission &amp; Protocols
Are these signals transmitted via hardwired I/O or digital communications? If digital, what protocols are used (e.g., Ethernet/IP, Profibus, Modbus RTU)?
If the analytics device supports Ethernet or serial links (e.g., gateway to PLC), what data model (tags/registers) and scan periods are used?
Probe/Accelerometer Health &amp; Validation
What OK/not‑OK, bias/gap voltage, sensor fault, open/short diagnostics are available to validate sensor integrity?
How is channel validation/voting implemented (e.g., require healthy status before acting on alarms)?
Reference / Keyphasor &amp; Speed (if applicable)
Is a Keyphasor/once‑per‑rev input present for spectral/phase or synchronous vibration features; how is speed data shared with the PLC?
Unit State Context
Which unit state flags (startup, run, coast‑down/turning gear, recycle, shutdown) feed the PLC’s vibration logic?
Are state‑dependent limits (higher during startup/coast; tighter at baseload) provided by the analytics device or maintained in the PLC?
I/O Architecture &amp; Time Stamping
Which points are local I/O vs remote I/O; what latency or SOE timestamp capability exists for alarm/danger events?</v>
      </c>
      <c r="E49" s="51" t="str">
        <f>'Step 2 - Service Definition'!G18</f>
        <v>Alarm Handling &amp; Tolerances
How are Alert vs Danger thresholds applied (per channel, per machine train), and what time delays or integration windows prevent false trips?
Are state‑based tolerances used (e.g., relaxed during roll‑up, tighter during steady run), and how are they switched?
Voting &amp; Trip Logic
What voting schemes (e.g., 2‑out‑of‑3 for trip; single‑channel alert for advisory) are implemented across redundant sensors or bearings?
How are latched trips handled and reset (manual confirmation, permissives satisfied)?
Action Hierarchy
What is the hierarchy of protective actions when vibration escalates: fuel cutback, valve positioning (e.g., recycle open to unload), speed reduction, unit trip/shutdown?
How are seal and lube oil subsystems managed during a vibration‑initiated rundown/coast‑down to protect bearings and prevent rubs?
Mode Coordination
How does vibration protection coordinate with surge avoidance, fuel control, IGV/bleed, and unit valve control to avoid conflicting commands?
Are feedforward actions used (e.g., pre‑emptive unloading if trend indicates approaching danger)?
Diagnostics &amp; False‑Alarm Mitigation
What logic filters electrical noise, sensor bias drift, or installation issues (loose mounts, cable faults)?
How are OK/fault states and bias/gap voltage trends used to distinguish instrumentation issues from real machine vibration?
Event Recording &amp; Post‑Event Analysis
What SOE entries and trends (amplitude, speed, unit state, fuel command) are recorded on alarm/danger; how are they retained for root‑cause analysis?
Does the PLC request snapshot/FFT/band data from the analytics device for post‑event review (if available)?</v>
      </c>
      <c r="F49" s="51" t="str">
        <f>'Step 2 - Service Definition'!H18</f>
        <v>Fuel &amp; Unit Valve Control
What outputs command fuel gas valves (modulate/cut) and unit valves (e.g., recycle/vent/bleed) under vibration alarms?
Are these signals transmitted via hardwired I/O or digital communications? If digital, what protocols are used (e.g., Ethernet/IP, Profibus, Modbus RTU)?
Runback &amp; Trip Sequences
What runback logic (controlled speed/pressure reduction) precedes a trip, and what conditions escalate to immediate shutdown?
How are cooldown/coast‑down outputs sequenced to maintain lube/seal integrity?
Subsystem Management
What outputs maintain lube oil pumps, seal gas boosters, and cooler fans/valves during vibration events to avoid secondary damage?
Are interlocks enforced to prevent unintended isolation of critical subsystems?
Command Verification &amp; Alarming
What return signals (valve position %, end‑of‑travel; pump run/fault; fuel valve status) confirm execution of protective commands?
How are mismatch or timeout alarms prioritized and annunciated to HMI/SCADA and the analytics device?
Reset &amp; Inhibit Management
What outputs/logical flags handle trip reset, channel inhibit/bypass (for maintenance), and how are such states logged and time‑bounded?</v>
      </c>
      <c r="G49" s="8"/>
    </row>
    <row r="50" spans="1:7" ht="17.100000000000001" customHeight="1" x14ac:dyDescent="0.25">
      <c r="A50" s="95"/>
      <c r="B50" s="231"/>
      <c r="C50" s="231"/>
      <c r="D50" s="52" t="s">
        <v>63</v>
      </c>
      <c r="E50" s="52" t="s">
        <v>64</v>
      </c>
      <c r="F50" s="57"/>
    </row>
    <row r="51" spans="1:7" ht="207.95" customHeight="1" x14ac:dyDescent="0.25">
      <c r="A51" s="95"/>
      <c r="B51" s="231"/>
      <c r="C51" s="232"/>
      <c r="D51" s="51" t="s">
        <v>65</v>
      </c>
      <c r="E51" s="51" t="s">
        <v>66</v>
      </c>
      <c r="F51" s="59"/>
    </row>
    <row r="52" spans="1:7" ht="207.95" customHeight="1" x14ac:dyDescent="0.25">
      <c r="A52" s="95"/>
      <c r="B52" s="231"/>
      <c r="C52" s="230" t="str">
        <f>'Step 1 - System Definition'!O18</f>
        <v>Unit PLC: Temperature Monitoring</v>
      </c>
      <c r="D52" s="35" t="str">
        <f>'Step 2 - Service Definition'!F19</f>
        <v>Sensor Coverage &amp; Mapping
Which measurement points are instrumented (e.g., inlet air, compressor discharge air/gas, combustor/transition, fuel temperature, turbine section/exhaust, suction/discharge, lube oil, seal/separation gas, bearing housings, cooler in/out)?
How are these points tagged and grouped (arrays, per stage, per can/sector, per bearing)?
Sensor Technologies &amp; Ranges
What sensor types are used (RTDs, thermocouples, smart transmitters) and their ranges/accuracy?
Are there cold‑junction compensation or transmitter linearization functions in use for thermocouples?
Redundancy, Voting &amp; Validation
Which measurements use redundant sensors or multi‑point arrays (e.g., exhaust TC arrays), and what voting/selection (max/mean/exclude bad) rules are applied?
What sanity checks (out‑of‑range, rate‑of‑change plausibility, drift detection) are implemented?
Derived Values &amp; Preprocessing
Which computed values are required: averages, maximum/minimum, spread (max–min), gradients (ΔT across components), rates‑of‑change, dew‑point margin (fuel/seal gas), viscosity‑related temperature targets (lube)?
Where are these calculated (transmitters vs PLC)?
Update Rates &amp; Timestamping
What scan rates are used for each temperature class (fast TC arrays vs slower RTDs)?
Are SOE timestamps captured for over‑temperature alarms/trips?
Signal Transmission &amp; I/O Architecture
Are these signals transmitted via hardwired I/O or digital communications? If digital, what protocols are used (e.g., Ethernet/IP, Profibus, Modbus RTU)?
Which points are local I/O versus remote I/O at skid/cooling packages; are there gateway modules?
Diagnostics &amp; Historian
What device diagnostics (sensor health, wiring integrity, transmitter alerts) are mapped to the PLC?
Which trend tags (key temperatures, spreads, computed margins) are archived for analysis?</v>
      </c>
      <c r="E52" s="51" t="str">
        <f>'Step 2 - Service Definition'!G19</f>
        <v>Limiters &amp; Protective Logic
Which temperature limiters (e.g., firing/exhaust limit, bearing housing limit, lube oil min/max) constrain fuel demand, IGV/bleed, and loading?
What alarms/trips and time delays are applied to mitigate transient spikes vs persistent over‑temperature?
Control Strategies Driven by Temperature
How does temperature inform fuel scheduling (PI/PID), IGV/bleed modulation, cooling fan/valve control, bypass/mixing, inlet heating/anti‑icing, or recycle?
Are feedforward terms used (e.g., ambient/inlet temperature on startup or rapid load change)?
Array Logic (Exhaust/Section Temperatures)
How is exhaust temperature spread calculated and used (e.g., limit fuel, alarm for combustor imbalance)?
What rules exclude bad sensors and substitute with rolling mean or neighbor interpolation?
State‑Based Behavior
How are startup warm‑up, hold at temperature, ramp limits, steady‑state bounds, cooldown/turning gear temperature criteria enforced?
What adjustments apply during recycle/surge avoidance to keep thermal margins safe?
Subsystem‑Specific Management
Lube oil: temperature‑based heater/cooler/bypass control to meet viscosity and bearing cooling needs.
Seal/buffer gas: temperature alignment to maintain dew‑point margin and avoid condensate.
Fuel system: monitor fuel temperature for combustion stability and DLE/DLN constraints (if applicable).
Fault Handling
How are sensor faults (open/short/bias drift) distinguished from true thermal events; what fallback and voting rules apply?
What actions occur on loss of critical temperature inputs (conservative derate, controlled rundown)?
Performance Monitoring &amp; Tuning
Which KPIs are tracked (exhaust average/spread trends, bearing temp margins, lube temp stability, ambient → performance correlation)?
How are PI/PID gains, setpoints, and limit curves managed (online tuning vs maintenance window)?</v>
      </c>
      <c r="F52" s="51" t="str">
        <f>'Step 2 - Service Definition'!H19</f>
        <v>Fuel &amp; Air Path Control
What outputs modulate fuel gas valves (e.g., metering/ASCV schedule), IGV, bleed and bypass/recycle valves in response to temperature limiters?
Are these signals transmitted via hardwired I/O or digital communications? If digital, what protocols are used (e.g., Ethernet/IP, Profibus, Modbus RTU)?
Cooling/Heating Devices
What commands operate cooler fans, cooling water/air control valves, oil cooler bypass/mixing, inlet air heaters/anti‑ice, and seal gas conditioning elements?
What rate limits and fail‑safe positions are enforced to avoid thermal shock?
Sequencing &amp; Interlocks
How are startup warm‑up and cooldown sequences enforced (timers, permissives, confirmation of temperature targets)?
What interlocks prevent conflicting actions (e.g., inhibit fuel increase when exhaust spread exceeds threshold)?
Command Verification &amp; Alarming
What return signals (valve position %, end‑of‑travel; fan run/fault; temperature achieved) confirm execution?
How are mismatch/timeout alarms prioritized and annunciated to HMI/SCADA?
Trip/Derate Actions
What outputs implement derate, runback, or trip on over‑temperature conditions; how is coast‑down heat management (lube/seals) guaranteed?
How are SOE entries and temperature snapshots logged for post‑event analysis?</v>
      </c>
      <c r="G52" s="8"/>
    </row>
    <row r="53" spans="1:7" ht="17.100000000000001" customHeight="1" x14ac:dyDescent="0.25">
      <c r="A53" s="95"/>
      <c r="B53" s="231"/>
      <c r="C53" s="231"/>
      <c r="D53" s="52" t="s">
        <v>63</v>
      </c>
      <c r="E53" s="52" t="s">
        <v>64</v>
      </c>
      <c r="F53" s="57"/>
    </row>
    <row r="54" spans="1:7" ht="207.95" customHeight="1" x14ac:dyDescent="0.25">
      <c r="A54" s="95"/>
      <c r="B54" s="232"/>
      <c r="C54" s="232"/>
      <c r="D54" s="51" t="s">
        <v>65</v>
      </c>
      <c r="E54" s="51" t="s">
        <v>66</v>
      </c>
      <c r="F54" s="59"/>
    </row>
    <row r="55" spans="1:7" ht="207.95" customHeight="1" x14ac:dyDescent="0.25">
      <c r="A55" s="95"/>
      <c r="B55" s="237" t="s">
        <v>39</v>
      </c>
      <c r="C55" s="230" t="str">
        <f>'Step 1 - System Definition'!O19</f>
        <v>ESD PLC: Station/Units Shutdown/Shut-in/Venting</v>
      </c>
      <c r="D55" s="35" t="str">
        <f>'Step 2 - Service Definition'!F20</f>
        <v>Hazard Detection &amp; Environment
What devices detect flame presence, combustible gas concentrations (LEL), and smoke/fire within compressor buildings and enclosures?
Where are detectors located (zones/rooms, turbine enclosure, pipe racks), and what setpoints trigger alarm vs trip?
Process Safety &amp; Station Conditions
Which process parameters are monitored for ESD criteria (e.g., high discharge pressure, low suction pressure, high discharge gas temperature, loss of instrument air, loss of DC power, seal gas/lube oil low‑low, overspeed from unit protection)?
Are these inputs direct hardwired trips or validated via supervisory data? What time delays or rate‑of‑change checks apply?
Human‑Operated Initiation
Where are ESD pushbuttons/switches (local panels, building exits, control room)?
Do they provide maintained or momentary contacts; are they latching in the ESD PLC?
Valve Actuation Medium &amp; Readiness
How is instrument air (or hydraulic/electric actuator power) availability monitored for station/Unit ESD valves?
Are there low pressure or drive power alarms that preclude reliable ESD actuation?
Unit &amp; Station Interfaces
What interlocks/permissives are exchanged between Unit PLCs, Station PLC, and the ESD PLC (e.g., “Unit trip commanded,” “fuel isolated,” “valves closed,” “vent open”)?
Which signals are authoritative for trip logic (ESD PLC vs Unit/Station PLC)?
Signal Transmission &amp; I/O Architecture
Are these signals transmitted via hardwired I/O or digital communications? If digital, what protocols are used (e.g., Ethernet/IP, Profibus, Modbus RTU)?
Which inputs are safety‑rated hardwired (e.g., SIL targets) versus informational (status only)?
Redundancy, Voting &amp; Health
Which inputs use redundant channels (e.g., dual gas detectors per zone) and what voting (1oo2, 2oo3) logic is configured?
How are device health (OK/fault) states and line monitoring (open/short detection) handled?
Timestamping &amp; Event Capture
Are SOE timestamps captured for ESD triggers and precursors (ms resolution)?
What pre‑event buffers or snapshots (pressure/temp states) are retained?</v>
      </c>
      <c r="E55" s="51" t="str">
        <f>'Step 2 - Service Definition'!G20</f>
        <v>ESD Levels &amp; Scope
What conditions initiate a Unit ESD versus a Station ESD; how is scope arbitration performed when simultaneous triggers occur?
Are partial area ESDs supported (e.g., building‑zone isolation) or only full station?
Sequence Definition (Unit ESD)
What steps, order, and timers define a Unit ESD:
Zero speed setpoint and Unit stop command
Fuel gas cutoff (isolation valves close, purge logic if applicable)
Unit piping isolation (suction/discharge)
Unit venting (designated vents blow down to atmosphere or flare)
What confirmation states are required before advancing each step (valve closed proof, vent open proof)?
Sequence Definition (Station ESD)
What actions define a Station ESD:
Command all Units ESD
Station suction/discharge isolation via station ESD valves
Station piping venting (headers/segments per design)
How are header pressures monitored to validate shut‑in and vent completion?
Fail‑Safe Behavior &amp; Power Loss
What behavior applies on loss of DC power, communication drop, or instrument air failure (spring‑return, fail‑closed/open specifics)?
Are mechanical latch or de‑energize‑to‑trip strategies used for final elements?
Voting, Latching &amp; Reset
Which trip functions are latched; what manual reset and cause‑diagnostics are required?
Are reset permissives (gas free, detector clear, pressure normal) enforced before allowing restart?
Interlocks &amp; Dependencies
What interlocks prevent conflicting actions (e.g., vent not opened until downstream isolation proven; inhibit restart until ESD valve status OK)?
How is ESD priority enforced over Unit/Station PLC commands (ESD overrides all)?
Alarm/Annunciation &amp; SOE
Which alarms accompany pre‑trip, ESD active, sequence step fail, and post‑ESD verification states?
How are SOE records used to reconstruct sequence timing and trigger sources?
Testing &amp; Proof
What test modes (functional tests of inputs/outputs, partial stroke tests) are provided without jeopardizing safety?
Are periodic proof‑tests scheduled and recorded for compliance (valve stroke, detector response)?</v>
      </c>
      <c r="F55" s="51" t="str">
        <f>'Step 2 - Service Definition'!H20</f>
        <v>Unit‑Level Actuation
What outputs send Unit stop, setpoint zeroing, and fuel isolation commands to the Unit package?
Are fuel valves driven by hardwired outputs or via a Unit PLC/ESD interface?
Station ESD Valves &amp; Vents
What outputs actuate station suction/discharge ESD valves (open/close), block valves, and vent/blowdown valves?
What position feedback (end‑of‑travel limits, analog position) is required to validate each move?
Command Pathing &amp; Protocols
Are these output commands transmitted via hardwired I/O or digital communications? If digital, what protocols are used (e.g., Ethernet/IP, Profibus, Modbus RTU)?
Are safety‑rated outputs (e.g., de‑energize‑to‑trip relays) employed for final elements?
Power &amp; Actuation Medium Management
What outputs/control paths maintain or shed instrument air manifolds, hydraulic power units, or solenoid pilots during ESD?
Are redundant solenoids or dual coils used; how is coil health reported?
Verification &amp; Alarming
What return signals (valve closed proof, vent open proof, pressure decay confirmation) confirm safe state?
How are mismatch, timeout, or partial stroke failure alarms prioritized and annunciated?
Broadcasts &amp; Inter‑System Notifications
What outputs/flags notify Unit PLCs, Station PLC, and SCADA of ESD active and ESD completion?
Is there an ESD summary published (initiating cause, scope, steps completed) for operators?</v>
      </c>
      <c r="G55" s="8"/>
    </row>
    <row r="56" spans="1:7" ht="17.100000000000001" customHeight="1" x14ac:dyDescent="0.25">
      <c r="A56" s="95"/>
      <c r="B56" s="231"/>
      <c r="C56" s="231"/>
      <c r="D56" s="52" t="s">
        <v>63</v>
      </c>
      <c r="E56" s="52" t="s">
        <v>64</v>
      </c>
      <c r="F56" s="57"/>
    </row>
    <row r="57" spans="1:7" ht="207.95" customHeight="1" x14ac:dyDescent="0.25">
      <c r="A57" s="95"/>
      <c r="B57" s="231"/>
      <c r="C57" s="232"/>
      <c r="D57" s="51" t="s">
        <v>65</v>
      </c>
      <c r="E57" s="51" t="s">
        <v>66</v>
      </c>
      <c r="F57" s="59"/>
    </row>
    <row r="58" spans="1:7" ht="207.95" customHeight="1" x14ac:dyDescent="0.25">
      <c r="A58" s="95"/>
      <c r="B58" s="231"/>
      <c r="C58" s="230" t="str">
        <f>'Step 1 - System Definition'!O20</f>
        <v>Sensing/Detection - Flame Detectors</v>
      </c>
      <c r="D58" s="35" t="str">
        <f>'Step 2 - Service Definition'!F21</f>
        <v>Detector Type &amp; Coverage
What detector technology is deployed (multispectrum IR, UV/IR, IR3), and what field‑of‑view and max detection distance are specified for the turbine package and building zones?
How many detectors per zone and what overlap ensures coverage of shadowed areas and potential flame points?
Performance &amp; Settings
What response time (e.g., Talarm) and sensitivity levels (low/med/high) are configured?
Which alarm modes are used (instant alarm vs time‑weighted integration), and do detectors support alarm latching or ESD PLC‑based latching?
Onboard Analytics &amp; Nuisance Rejection
How do detectors handle hot machinery surfaces, sunlight/arc welding, steam, fog, dust?
Are masking or inhibit functions needed during maintenance activities, and how are they supervised?
Health &amp; Self‑Test
What self‑test and auto‑diagnostics (window contamination, internal fault, power fault) are available?
How are proof‑tests performed (external test lamps, built‑in test outputs), and how is test mode signaled to the ESD PLC?
Signal Interfaces to ESD PLC
Which outputs are provided per detector:
Discrete alarm (N.O./N.C.), discrete fault (N.O./N.C.), maintenance/trouble,
4–20 mA status (e.g., healthy, alarm, fault, inhibit), HART diagnostics?
Are these signals transmitted via hardwired I/O or digital communications? If digital, what protocols are used (e.g., Ethernet/IP, Profibus, Modbus RTU)?
Power &amp; Circuit Supervision
What power supply (DC voltage, current draw) and intrinsically safe or explosion‑proof requirements apply?
Are supervised circuits used (e.g., end‑of‑line, line‑monitoring) to detect open/short conditions on alarm and fault lines?
Environmental &amp; Installation
What hazardous area ratings (Class/Division or Zone), temperature range, and ingress protection are required?
Are detectors mounted to minimize vibration and allow cleaning/inspection access?
Zoning &amp; Voting
How are detectors grouped into zones, and what voting logic (e.g., 1oo1, 1oo2, 2ooN) is defined for Unit vs Station ESD?</v>
      </c>
      <c r="E58" s="51" t="str">
        <f>'Step 2 - Service Definition'!G21</f>
        <v>Alarm Evaluation &amp; Debounce
What validation timers or persistence checks are applied to detector alarms to avoid transient false positives?
Are state‑based thresholds (startup, purge, hot restart) applied differently than steady‑state operation?
Voting &amp; Latching
What voting rules per zone initiate Unit ESD versus Station ESD?
Are alarms latched in the ESD PLC until manual reset with explicit reset permissives (gas concentration clear, detector healthy)?
Fault Handling &amp; Degraded Coverage
How does the ESD PLC respond to detector fault/inhibit (e.g., escalate to degraded mode, require additional detectors to vote, inhibit restart)?
What alarm‑on‑fault policies apply if coverage is lost in critical zones?
ESD Initiation &amp; Sequencing
Upon flame confirmation, what sequence executes (fuel isolation, unit/station isolation valves close, vent/blowdown, local alarms)?
How are step confirmations (valve positions, pressure decay) required before proceeding?
Maintenance Overrides &amp; Testing
How are maintenance overrides managed (ESD PLC inhibit flags, time‑bounded, logged), and what test modes allow end‑to‑end functional checks without tripping?
Are partial stroke or simulation functions supported for periodic proof testing?
Annunciation &amp; SOE
What operator messages, audible/visual alarms, and sequence‑of‑events (SOE) timestamps are generated on alarm/fault/reset?
How is initiating cause and zone identification displayed/logged?</v>
      </c>
      <c r="F58" s="51" t="str">
        <f>'Step 2 - Service Definition'!H21</f>
        <v>ESD Protective Actions
What outputs command Unit stop/setpoint zeroing, fuel gas cutoff, unit/station isolation (suction/discharge ESD valves), and venting/blowdown?
Notification &amp; Interlocks
What outputs drive local beacons/sirens and facility alarm systems; how are interlocks enforced to prevent conflicting actions (e.g., vent only after isolation proved)?
Command Pathing &amp; Protocols
Are these output commands transmitted via hardwired I/O or digital communications? If digital, what protocols are used (e.g., Ethernet/IP, Profibus, Modbus RTU)?
Are de‑energize‑to‑trip relays used for final safety elements; how is output line supervision implemented?
Feedback &amp; Verification
What return signals (valve end‑of‑travel, pressure decay to target, alarm silenced/acknowledged) confirm successful execution?
How are mismatch/timeout conditions alarmed and escalated?
Reset &amp; Restore
What reset outputs/flags clear latched alarms after conditions normalize and reset permissives are met?
How are post‑ESD checks (detector health, gas levels) enforced before enabling restart?</v>
      </c>
      <c r="G58" s="8"/>
    </row>
    <row r="59" spans="1:7" ht="17.100000000000001" customHeight="1" x14ac:dyDescent="0.25">
      <c r="A59" s="95"/>
      <c r="B59" s="231"/>
      <c r="C59" s="231"/>
      <c r="D59" s="52" t="s">
        <v>63</v>
      </c>
      <c r="E59" s="52" t="s">
        <v>64</v>
      </c>
      <c r="F59" s="57"/>
    </row>
    <row r="60" spans="1:7" ht="207.95" customHeight="1" x14ac:dyDescent="0.25">
      <c r="A60" s="95"/>
      <c r="B60" s="231"/>
      <c r="C60" s="232"/>
      <c r="D60" s="51" t="s">
        <v>65</v>
      </c>
      <c r="E60" s="51" t="s">
        <v>66</v>
      </c>
      <c r="F60" s="59"/>
    </row>
    <row r="61" spans="1:7" ht="207.95" customHeight="1" x14ac:dyDescent="0.25">
      <c r="A61" s="95"/>
      <c r="B61" s="231"/>
      <c r="C61" s="230" t="str">
        <f>'Step 1 - System Definition'!O21</f>
        <v>Sensing/Detection - Gas Detectors</v>
      </c>
      <c r="D61" s="35" t="str">
        <f>'Step 2 - Service Definition'!F22</f>
        <v>Detector Technology &amp; Coverage
What detector types are deployed per area: point IR (diffusion) vs open‑path IR (line‑of‑sight)? What certified measurement ranges (e.g., 0–100% LEL for point; LFL‑meters for open‑path) are specified?
Where are detectors mounted (turbine enclosure, compressor building zones, pipe racks)? What overlap/line‑of‑sight rules ensure coverage of leak sources and blind spots?
Signal Interfaces into the ESD PLC
Which outputs are provided per detector: 4–20 mA (%LEL), discrete alarm (N.O./N.C.), discrete fault (N.O./N.C.), and optional HART/Modbus RS‑485 for diagnostics/configuration?
Are these signals transmitted via hardwired I/O or digital communications? If digital, what protocols are used (e.g., Ethernet/IP, Profibus, Modbus RTU)?
How are line‑supervision and de‑energize‑to‑safe conventions implemented on alarm/fault circuits?
Performance &amp; Environmental Resilience
What response times (e.g., T90 ≤ a few seconds for methane), fail‑safe behaviors, and heated optics/condensation control features are required for local conditions?
What hazardous‑area approvals, temperature range, IP rating, and materials (e.g., SS316) apply?
Alarm Philosophy &amp; Setpoints
What low (early warning) and high (escalation) alarm setpoints are used (commonly ~20–25% LEL and ~40–50% LEL, respectively)?
Are setpoints harmonized with facility alarm philosophy and applicable standards/guidelines?
Health, Self‑Test &amp; Proof‑Testing
How are device health states indicated (e.g., fault relay, 0–2 mA ranges) and mapped to the ESD PLC?
What proof‑testing method/frequency (bump tests, remote test source) is mandated, and how are temporary inhibits annunciated and time‑bounded?
Power &amp; Wiring
What 24 VDC supply and consumption limits, cable types/lengths, and RS‑485/fieldbus wiring practices are required?
Zoning &amp; Voting
How are detectors grouped into zones and what voting logic (e.g., 1oo1 in high‑risk zones, 2ooN where nuisance likelihood is higher) is configured for Unit vs Station actions?</v>
      </c>
      <c r="E61" s="51" t="str">
        <f>'Step 2 - Service Definition'!G22</f>
        <v>Alarm Evaluation &amp; Debounce
What persistence timers or rate‑of‑change filters are applied to distinguish true leaks from transient spikes (vent drafts, maintenance)?
Are state‑based rules (startup, purge, hot restart) applied to adjust evaluation criteria?
Voting &amp; Scope Determination
What voting rules per zone initiate Unit ESD vs Station ESD?
How are point and open‑path detections combined to avoid missed events and reduce false trips?
Fail‑Safe &amp; Fault Handling
How does the ESD PLC respond to detector fault/inhibit in critical zones—e.g., degraded‑coverage alarms, stricter voting, restart restrictions, or maintenance escalation?
ESD Initiation &amp; Sequencing
On confirmed escalation (high alarm or multi‑channel concurrence), what sequence executes: fuel cutoff, Unit/Station isolation valves close, vent/blowdown, audible/visual alarms?
What step confirmations (valve end‑of‑travel, pressure decay to target) are required before advancing?
Annunciation, SOE &amp; Diagnostics
What operator messages (detector ID, zone, %LEL) and SOE timestamps are recorded?
How are diagnostic records (dirty optics, path integrity, supply voltage) retrieved and trended?
Maintenance Overrides &amp; Testing
How are test/inhibit modes requested, time‑bounded, logged, and cleared without compromising coverage or unintentionally suppressing safety actions?</v>
      </c>
      <c r="F61" s="51" t="str">
        <f>'Step 2 - Service Definition'!H22</f>
        <v>Protective Actions
What outputs command Unit stop/setpoint zeroing, fuel gas isolation, Unit/Station ESD valves (suction/discharge), and vent/blowdown?
Command Pathing &amp; Protocols
Are these output commands transmitted via hardwired I/O or digital communications? If digital, what protocols are used (e.g., Ethernet/IP, Profibus, Modbus RTU)?
Are safety‑rated hardwired outputs (e.g., de‑energize‑to‑trip relays) employed for final elements?
Interlocks &amp; Rate Limits
What interlocks prevent conflicting actions (e.g., vent only after isolation proof), and what rate limits apply to achieve a safe state without inducing upsets?
Feedback &amp; Verification
What return signals confirm execution (valve closed/open proof, header pressure decay, %LEL trending down)?
How are mismatch/timeout conditions prioritized, annunciated, and escalated?
Reset &amp; Restore
What reset permissives (alarms cleared, detectors healthy, gas levels below low alarm) are required before re‑enabling equipment?
How is post‑event recordkeeping handled (cause, steps completed, time to safe state)?</v>
      </c>
      <c r="G61" s="8"/>
    </row>
    <row r="62" spans="1:7" ht="17.100000000000001" customHeight="1" x14ac:dyDescent="0.25">
      <c r="A62" s="95"/>
      <c r="B62" s="231"/>
      <c r="C62" s="231"/>
      <c r="D62" s="52" t="s">
        <v>63</v>
      </c>
      <c r="E62" s="52" t="s">
        <v>64</v>
      </c>
      <c r="F62" s="57"/>
    </row>
    <row r="63" spans="1:7" ht="207.95" customHeight="1" x14ac:dyDescent="0.25">
      <c r="A63" s="95"/>
      <c r="B63" s="231"/>
      <c r="C63" s="232"/>
      <c r="D63" s="51" t="s">
        <v>65</v>
      </c>
      <c r="E63" s="51" t="s">
        <v>66</v>
      </c>
      <c r="F63" s="59"/>
    </row>
    <row r="64" spans="1:7" ht="207.95" customHeight="1" x14ac:dyDescent="0.25">
      <c r="A64" s="95"/>
      <c r="B64" s="231"/>
      <c r="C64" s="230" t="str">
        <f>'Step 1 - System Definition'!O22</f>
        <v>Manual Pushbuttons - Human Initiated ESD</v>
      </c>
      <c r="D64" s="35" t="str">
        <f>'Step 2 - Service Definition'!F23</f>
        <v>Device Type &amp; Contacting
What mechanical action is used (mushroom push‑to‑latch, pull‑to‑reset, guarded cover)?
Which contacts are provided and used by the ESD PLC (N.C. trip, N.O. trip, both for redundancy)?
Contact electrical ratings (voltage/current; AC/DC) and safety classification (e.g., SIL suitability)?
Fail‑Safe &amp; Supervision
Are circuits designed de‑energize‑to‑trip (N.C. loop supervised for open/short)?
What line‑supervision is used (end‑of‑line resistor, monitored input modules)?
How is cable integrity verified (open/short detection, ground fault monitoring)?
Mounting &amp; Environment
Are devices hazardous‑area rated (Zone/Class/Division), ingress‑protected (IP/NEMA), and suitable for ambient temperature?
Are pushbuttons conspicuously labeled, color‑coded (e.g., red), and unobstructed for emergency access?
Human Factors &amp; Accessibility
Where are pushbuttons located (e.g., building exits, near turbine enclosure doors, control room)?
Are multiple devices provided per zone for redundancy; is spacing compliant with egress and reach guidelines?
Signal Path to ESD PLC
Are these signals transmitted via hardwired I/O or digital communications? If digital, what protocols are used (e.g., Ethernet/IP, Profibus, Modbus RTU)?
If hardwired, which ESD input card type (safety‑rated, line‑supervised DI) is used; what scan rate and SOE timestamp resolution are configured?
Annunciation &amp; Indication
Is local indication present (mechanical latch position, pilot light, beacon/sounder tie‑in)?
How are ESD request and device health (loop fault) annunciated on HMI/SCADA?
Maintenance &amp; Proof Testing
What periodic proof test procedures verify contact operation, wiring integrity, and PLC input response without executing a full plant trip?
How are temporary inhibits or bypass keys controlled (authorization, time‑bound, logged)?</v>
      </c>
      <c r="E64" s="51" t="str">
        <f>'Step 2 - Service Definition'!G23</f>
        <v>Initiation &amp; Latching
Does any single pushbutton initiate Unit or Station ESD (1oo1), or is voting used in specific areas (e.g., control room + field)?
Are ESD requests latched in the PLC until a manual reset with permissives (gas clear, valves proven, detectors healthy)?
Scope Arbitration
How does the PLC decide between Unit ESD vs Station ESD (device zoning and mapping)?
Are graded responses supported (unit shutdown only; station‑level isolation if certain zones are actuated)?
Sequence &amp; Interlocks
What is the ordered sequence on actuation (fuel cutoff → unit isolation → station isolation → vent/blowdown → alarms)?
What interlocks and step confirmations are enforced (valve end‑of‑travel, pressure decay to target)?
Fail‑Safe Behavior
How does the system behave on power loss to device or PLC input (trip by design)?
What happens on wiring fault (open/short) detected by supervised input—alarm, trip, or maintenance action?
Reset &amp; Restart Control
What reset permissives are required (gas levels normal, detectors and ESD valves healthy, lube/seal systems ready)?
Is reset performed by authorized personnel at HMI with key‑switch or two‑hand confirmation to prevent inadvertent restart?
Event Recording &amp; Visibility
Are SOE timestamps captured (ms resolution), including device ID, zone, and operator actions (acknowledge, reset)?
How is post‑event reporting generated (initiating device, action timeline, duration to safe state)?
Operational Governance
Are operating procedures and training/drills aligned to pushbutton usage (when to actuate, evacuation routes, radio callouts)?
How are unauthorized actuations mitigated (guards, signage, CCTV/log reviews)?</v>
      </c>
      <c r="F64" s="51" t="str">
        <f>'Step 2 - Service Definition'!H23</f>
        <v>Protective Actions
What outputs command Unit stop/setpoint zeroing, fuel gas isolation, suction/discharge ESD valves, and vent/blowdown?
Are audible/visual alarms (beacons/sirens) energized concurrently, and are HVAC dampers or firewater/deluge interfaces engaged per philosophy?
Command Pathing &amp; Protocols
Are these output commands transmitted via hardwired I/O or digital communications? If digital, what protocols are used (e.g., Ethernet/IP, Profibus, Modbus RTU)?
Are outputs safety‑rated and de‑energize‑to‑trip (spring‑return actuators, dual solenoids) for final elements?
Feedback &amp; Verification
What return signals confirm execution (valve end‑of‑travel, pressure decay, fuel valve closed proof)?
How are mismatch/timeout conditions prioritized and annunciated (operator guidance, escalation path)?
Post‑Event Reset &amp; Logging
What outputs/flags support reset (alarm clear, latch release) once permissives are met?
What records are stored (initiating device, time to safe state, reset time, maintenance recommendations)?</v>
      </c>
      <c r="G64" s="8"/>
    </row>
    <row r="65" spans="1:7" ht="17.100000000000001" customHeight="1" x14ac:dyDescent="0.25">
      <c r="A65" s="95"/>
      <c r="B65" s="231"/>
      <c r="C65" s="231"/>
      <c r="D65" s="52" t="s">
        <v>63</v>
      </c>
      <c r="E65" s="52" t="s">
        <v>64</v>
      </c>
      <c r="F65" s="57"/>
    </row>
    <row r="66" spans="1:7" ht="207.95" customHeight="1" x14ac:dyDescent="0.25">
      <c r="A66" s="95"/>
      <c r="B66" s="231"/>
      <c r="C66" s="232"/>
      <c r="D66" s="51" t="s">
        <v>65</v>
      </c>
      <c r="E66" s="51" t="s">
        <v>66</v>
      </c>
      <c r="F66" s="59"/>
    </row>
    <row r="67" spans="1:7" ht="207.95" customHeight="1" x14ac:dyDescent="0.25">
      <c r="A67" s="95"/>
      <c r="B67" s="234" t="s">
        <v>41</v>
      </c>
      <c r="C67" s="230" t="str">
        <f>'Step 1 - System Definition'!O23</f>
        <v>Pipeline ops for delivery (STN setpoint, Unit start/stop)</v>
      </c>
      <c r="D67" s="35" t="str">
        <f>'Step 2 - Service Definition'!F24</f>
        <v>SCADA → Station Targets &amp; Requests
What station setpoints are received (e.g., discharge pressure, suction pressure, station flow, temperature constraints)?
What operational requests arrive (unit start/stop, station mode: pressure‑hold vs flow‑target, lineup changes)?
Telemetry Scope &amp; Quality
Which telemetry points feed Gas Control analytics and STN PLC logic (multi‑unit performance, suction/discharge pressure, flow meters, temperatures, vibration status, ESD state, station valve positions)?
What update rates, time stamping, and data quality flags (valid/uncertain/bad) are used?
Communications Path &amp; Protocols
What is the end‑to‑end path from control center → field (SCADA host → wide‑area comms → STN GW → STN PLC)?
Are these signals transmitted via hardwired I/O or digital communications? If digital, what protocols are used (e.g., DNP3, IEC‑104, Modbus RTU/TCP, OPC UA, MQTT, Ethernet/IP, Profibus)?
Are redundant links, dual NICs, or cellular/satellite backup present?
Station/Unit Interfaces
How does the STN PLC interface with Unit PLCs (hardwired permissives, high‑speed Ethernet/IP, Modbus TCP, serial links)?
What identifiers and mapping are used to route setpoints to the correct Unit(s)?
Permissives &amp; Interlocks (Inputs)
Which run permissives and interlocks must be true to accept setpoints or start units (instrument air available, lube/seal systems healthy, suction/discharge valves lineup, ESD clear, power quality OK)?
How are ESD signals presented to the STN PLC (hardwired vs digital status)?
Measurement Integrity
What metering devices (orifice, ultrasonic, Coriolis) provide flow; how is compensation (temperature/pressure, gas composition) handled?
Are sensor validation, range checks, or multi‑sensor voting used?
Time Base &amp; SOE
How is time synchronization managed (GPS, PTP/NTP) to align SCADA events with STN/Unit PLC SOEs?</v>
      </c>
      <c r="E67" s="35" t="str">
        <f>'Step 2 - Service Definition'!G24</f>
        <v>Mode &amp; Setpoint Handling
What control modes are supported (pressure control, flow control, mixed/priority mode)?
How are setpoint ramps, rate limits, and bumpless transfers applied when targets change?
Unit Dispatch &amp; Load Sharing
What logic determines which Unit(s) start/stop and how load is distributed (priority list, equal‑load, efficiency curves, constraints from anti‑surge margins)?
How does the STN PLC prevent rapid cycling and enforce minimum run/stop times?
Constraints &amp; Limiters
What station‑level limiters (max/min pressures, temperature caps, valve position limits) cap Unit outputs?
How are ESD/Trip states handled—does a Unit trip trigger re‑dispatch to meet station target or a controlled runback?
Setpoint Arbitration &amp; Validity
How are conflicting operator vs Gas Control setpoints resolved (priority rules, local override)?
What happens if data quality is bad—does the STN PLC hold last good value, enter safe mode, or notify Gas Control?
Lineup &amp; Valving Sequencing
How does the STN PLC sequence suction/discharge and bypass/vent valves when changing station mode or starting/stopping Units?
What proof‑of‑position checks precede compressor engagement?
Ancillary Systems Coordination
How are instrument air, seal gas, lube oil, coolers, and filters managed to support Unit starts and sustained operation?
Are pre‑start checks and cooldown/turning gear criteria enforced at station level?
Loss‑of‑Comms &amp; Degraded Modes
What is the fallback behavior on SCADA comms loss (hold last target, revert to local auto, controlled runback)?
How is data reconciliation performed when comms restore (audit trail, change logs)?
Event Recording &amp; KPIs
What SOE and performance KPIs (pressure tracking error, flow compliance, Unit run hours, starts/stops, surge avoidance events) are logged and sent upstream?</v>
      </c>
      <c r="F67" s="35" t="str">
        <f>'Step 2 - Service Definition'!H24</f>
        <v>Commands to Unit PLCs
What outputs start/stop Units, set Unit demand/speed/pressure targets, and mode flags?
Are these signals transmitted via hardwired I/O or digital communications? If digital, what protocols are used (e.g., Ethernet/IP, Modbus TCP/RTU, Profibus, OPC UA)?
Are acknowledge/handshake sequences required (command → accept → execute → proven)?
Station Valving &amp; Equipment Control
What outputs position suction/discharge valves, bypass/recycle, vent/blowdown, coolers/fans, and support systems?
How are rate limits, interlocks, and fail‑safe positions applied?
Telemetry &amp; Status Upstream
What telemetry frames does the STN PLC publish back to SCADA (pressures/flows, Unit states, alarms, SOE, ESD state, ancillary health)?
Through which gateway/protocol are these reported (STN GW, DNP3, IEC‑104, Modbus TCP, OPC UA), and at what scan/refresh rates?
Alarm/Annunciation &amp; Audit
What alarms (setpoint rejected, limit active, device fault) and audit records (who changed setpoint, when) are generated and delivered to Gas Control?
ESD/Trip Notifications
How are ESD active, Unit trip, station shutdown notifications routed upstream and to local HMIs?
Are post‑event summaries (initiating cause, sequence timing) automatically packaged for review?</v>
      </c>
      <c r="G67" s="8"/>
    </row>
    <row r="68" spans="1:7" ht="17.100000000000001" customHeight="1" x14ac:dyDescent="0.25">
      <c r="A68" s="95"/>
      <c r="B68" s="235"/>
      <c r="C68" s="231"/>
      <c r="D68" s="52" t="s">
        <v>63</v>
      </c>
      <c r="E68" s="52" t="s">
        <v>64</v>
      </c>
      <c r="F68" s="57"/>
    </row>
    <row r="69" spans="1:7" ht="207.95" customHeight="1" x14ac:dyDescent="0.25">
      <c r="A69" s="95"/>
      <c r="B69" s="235"/>
      <c r="C69" s="232"/>
      <c r="D69" s="51" t="s">
        <v>65</v>
      </c>
      <c r="E69" s="51" t="s">
        <v>66</v>
      </c>
      <c r="F69" s="59"/>
    </row>
    <row r="70" spans="1:7" ht="207.95" customHeight="1" x14ac:dyDescent="0.25">
      <c r="A70" s="95"/>
      <c r="B70" s="238" t="s">
        <v>42</v>
      </c>
      <c r="C70" s="230" t="str">
        <f>'Step 1 - System Definition'!O24</f>
        <v>STN MCC</v>
      </c>
      <c r="D70" s="35" t="str">
        <f>'Step 2 - Service Definition'!F25</f>
        <v>Device Inventory &amp; Ratings
Which MCC sections and devices are present (feeder breakers, starters, soft starters, VFDs, protective relays, power meters), and what are their motor kW/HP/voltage ratings?
Configuration &amp; Parameterization (Digitally Enabled)
Which parameters are configurable over the network: overload setpoints, overcurrent/trip curves, VFD speed/torque limits, accel/decel ramps, skip‑frequencies, PID setpoints?
Who can modify them (role‑based access), and where (local HMI, engineering workstation, STN PLC)?
Status/Diagnostics to STN PLC
What status points are provided: breaker/starter/vfd run, ready, trip, fault code, thermal capacity (% overload), heatsink temp, current/voltage/power?
What event data (last trip cause, time stamp) and device health (internal fault, comm loss) are available?
Signal Path &amp; Protocols
Are these signals transmitted via hardwired I/O or digital communications? If digital, what protocols are used (e.g., Ethernet/IP, Modbus TCP/RTU, PROFINET, PROFIBUS‑DP, DeviceNet)?
What is the network topology (ring/star), redundancy, and scan/update rates for critical loads?
Interlocks &amp; Permissives (Inputs to STN PLC)
Which run permissives are sourced from MCC devices (motor starter “ready,” VFD “healthy,” cooling fan “available,” pump seal/lube “available”)?
Are ESD/Trip indications from protection relays hardwired to the STN PLC for deterministic shutdowns?
Power Quality &amp; Metering
What metering (kW/kVAR, harmonics, voltage imbalance) is available, and how is it consumed by STN PLC or SCADA for load management?
Arc‑Flash &amp; Safety Interfaces
Are maintenance/remote racking modes or safe/lockout indications exposed to PLC/HMI to prevent remote starts during work?</v>
      </c>
      <c r="E70" s="35" t="str">
        <f>'Step 2 - Service Definition'!G25</f>
        <v>Critical‑Load Control Strategy
Which loads are critical to unit starts and station stability (e.g., lube oil, seal gas, cooling fans), and how are their start sequences enforced?
Start/Stop &amp; Speed Control (VFDs)
How does STN PLC handle start commands, speed references, and run feedbacks (acknowledge/handshake)?
What ramp rates, min/max speeds, and accel/decel time are applied per device; how are skip frequencies used to avoid resonance?
Interlocks, Permissives &amp; ESD Behavior
What interlocks must be true to start a load (suction/discharge valves lined up, instrument air available, ESD clear)?
During ESD or unit trip, what MCC actions occur (coordinated stop, hold auxiliary pumps as needed for coast‑down/turning gear, controlled shedding of non‑critical fans)?
Load Shedding &amp; Prioritization
How does the STN PLC shed/re‑add non‑critical MCC loads during brownouts or generation limits?
What priority tables define which loads must remain energized to protect equipment?
Fault Handling &amp; Recovery
What is the STN PLC logic on starter/VFD trip (automatic retry count/interval, lockout after N attempts, operator intervention required)?
How are trip causes surfaced (overcurrent, overload, ground fault, overtemp, comm fault) for rapid troubleshooting?
Maintenance &amp; Bypass Modes
How are maintenance inhibits or local‑only control managed (time‑bounded, logged, annunciated)?
Can the PLC command test runs at safe speed for diagnostics?
Performance Monitoring
Which KPIs are tracked (start success rate, trip rate, energy use, bearing/cooling effectiveness) and how are anomalies flagged?</v>
      </c>
      <c r="F70" s="35" t="str">
        <f>'Step 2 - Service Definition'!H25</f>
        <v>Commands from STN PLC to MCC
What outputs start/stop motors, enable/disable starters/VFDs, and set speed or torque references?
Are these output commands transmitted via hardwired I/O or digital communications? If digital, what protocols are used (e.g., Ethernet/IP, Modbus TCP/RTU, PROFINET, PROFIBUS‑DP)?
Control of Protective Functions
Can the PLC adjust overload/overcurrent settings (digitally enabled) or reset trips under controlled conditions?
How are remote resets safeguarded (cooling period, operator prompt, permissive checks)?
Feedback &amp; Verification
What return signals confirm execution (starter closed, VFD “run,” speed achieved, current within limit)?
How are mismatch/timeouts alarmed and escalated?
Alarm/Annunciation Upstream
Which alarms/events are forwarded to station HMI/SCADA (trip cause, thermal overload, comm fault, arc‑flash maintenance active)?
What SOE timestamps and audit logs (setpoint changes, resets) accompany MCC events?
Energy &amp; PQ Reporting
How is energy usage and power quality data published (to STN PLC or directly to SCADA) for optimization and maintenance planning?</v>
      </c>
      <c r="G70" s="8"/>
    </row>
    <row r="71" spans="1:7" ht="17.100000000000001" customHeight="1" x14ac:dyDescent="0.25">
      <c r="A71" s="95"/>
      <c r="B71" s="239"/>
      <c r="C71" s="231"/>
      <c r="D71" s="52" t="s">
        <v>63</v>
      </c>
      <c r="E71" s="52" t="s">
        <v>64</v>
      </c>
      <c r="F71" s="57"/>
    </row>
    <row r="72" spans="1:7" ht="207.95" customHeight="1" x14ac:dyDescent="0.25">
      <c r="A72" s="95"/>
      <c r="B72" s="239"/>
      <c r="C72" s="232"/>
      <c r="D72" s="51" t="s">
        <v>65</v>
      </c>
      <c r="E72" s="51" t="s">
        <v>66</v>
      </c>
      <c r="F72" s="59"/>
    </row>
    <row r="73" spans="1:7" ht="207.95" customHeight="1" x14ac:dyDescent="0.25">
      <c r="A73" s="95"/>
      <c r="B73" s="239"/>
      <c r="C73" s="230" t="str">
        <f>'Step 1 - System Definition'!O25</f>
        <v>STN ATS</v>
      </c>
      <c r="D73" s="35" t="str">
        <f>'Step 2 - Service Definition'!F26</f>
        <v>Source Monitoring &amp; Quality
Which phases and neutral are monitored per source; what voltage/frequency acceptance bands and undervoltage/overvoltage thresholds are configured?
Are phase‑loss, phase‑reversal, voltage imbalance, or harmonic conditions detected and reported?
Transfer Logic Parameters (Digitally Enabled)
Which parameters are configurable: transfer delay, retransfer delay, generator start delay, engine‑warmup, cool‑down, in‑phase transfer enable, preferred source selection?
Where can they be changed (local HMI/keypad, engineering workstation, STN PLC), and what role‑based access applies?
Operating Modes
What transfer mode is used for the load: open transition (break‑before‑make), closed transition (make‑before‑break), or delayed transition?
Are test modes (automatic/maintenance/manual) available and signaled to the PLC?
Generator Start/Ready Signals
How does the ATS issue generator start and receive generator ready/at‑voltage/at‑frequency feedback (hardwired vs digital)?
Are fuel level, oil pressure, coolant temp, or genset alarms mapped to ATS status or provided separately to the STN PLC?
Interlocks &amp; Safety
What mechanical/electrical interlocks prevent source tie; how is source breaker position verified?
Are manual bypass/isolation switches present; how does the ATS report bypass to the PLC?
Communications Path &amp; Protocols
Are these signals transmitted via hardwired I/O or digital communications? If digital, what protocols are used (e.g., Modbus RTU/TCP, Ethernet/IP, PROFINET, DNP3)?
What network topology, update rates, and redundancy are used for ATS data?
Event/Alarm Reporting
Which alarms are available: transfer fail, retransfer fail, source not acceptable, controller fault, contact wear, overtemp, mechanism failure?
Are time‑stamped events stored in the ATS and retrievable by the PLC?
Time Base &amp; SOE
How are SOE timestamps aligned across ATS and STN PLC (NTP/PTP/GPS or via PLC time sync)?</v>
      </c>
      <c r="E73" s="51" t="str">
        <f>'Step 2 - Service Definition'!G26</f>
        <v>Transfer/Retansfer Criteria
What acceptance criteria (voltage/frequency bands, stability windows) and minimum/maximum delays must be met before transfer/retransfer?
Is preferred source enforced after utility restoration; how are brownout or flicker conditions handled?
Load Coordination
How does the STN PLC sequence MCC loads post‑transfer (critical auxiliaries first: lube/seal pumps, instrument air, then fans)?
Are load sheds applied during generator operation (noncritical HVAC/fans) to stay within genset rating?
Mode Controls &amp; Inhibits
Can the STN PLC enable/inhibit automatic transfer, force transfer to backup, or hold on preferred source (e.g., during maintenance)?
What conditions block transfer (bypass engaged, interlock open, genset not ready, ATS fault)?
ESD &amp; Blackout Behavior
How do ESD sequences interact with ATS states; does power loss trigger controlled runback/stop vs trip for unit subsystems?
Are UPS and DC systems integrated to bridge ATS switching delays for PLCs and critical controls?
Fault Handling &amp; Recovery
What is the response to transfer fail or controller fault (alarm escalation, manual override, dispatch procedures)?
How are retries handled (N attempts, back‑off timing) and when is operator intervention required?
Testing &amp; Readiness
How are automatic or scheduled generator tests coordinated (no‑load transfer test vs full transfer), and how is station operation protected during tests?
Are pre‑test and post‑test checklists enforced (alarms clear, fuel OK, cooling OK, bypass not engaged)?
Performance Monitoring
Which KPIs are tracked (transfer time, retransfer time, number of transfers, generator runtime hours, fail‑to‑start events), and how are trends used for maintenance planning?</v>
      </c>
      <c r="F73" s="51" t="str">
        <f>'Step 2 - Service Definition'!H26</f>
        <v>Commands from STN PLC to ATS
What outputs enable/inhibit automatic transfer, initiate manual transfer, select preferred source, start/stop generator (if routed via ATS)?
Are these output commands transmitted via hardwired I/O or digital communications? If digital, what protocols are used (e.g., Modbus TCP/RTU, Ethernet/IP, PROFINET, DNP3)?
Status &amp; Alarms to STN PLC
What status points are returned: source availability/quality, switch position (utility/gen), in‑transition, bypass/isolation, controller healthy, alarm summary?
Are detailed fault codes and event logs retrievable via digital comms (if enabled), or only hardwired discrete alarms?
Synchronization &amp; Timing
How are transfer timestamps provided for SOE; is there a time‑sync mechanism between ATS and PLC?
Safety &amp; Interlocks Confirmation
What return signals confirm interlocks (mechanical/electrical) are intact before enabling transfer commands from PLC?
How are mismatch or timeout conditions (command issued but not executed) alarmed and escalated?
Upstream Telemetry
Which ATS data are forwarded to station HMI/SCADA (via STN PLC or directly): source trends, transfer counts, testing schedule, maintenance advisories?</v>
      </c>
      <c r="G73" s="8"/>
    </row>
    <row r="74" spans="1:7" ht="17.100000000000001" customHeight="1" x14ac:dyDescent="0.25">
      <c r="A74" s="95"/>
      <c r="B74" s="239"/>
      <c r="C74" s="231"/>
      <c r="D74" s="52" t="s">
        <v>63</v>
      </c>
      <c r="E74" s="52" t="s">
        <v>64</v>
      </c>
      <c r="F74" s="57"/>
    </row>
    <row r="75" spans="1:7" ht="207.95" customHeight="1" x14ac:dyDescent="0.25">
      <c r="A75" s="95"/>
      <c r="B75" s="239"/>
      <c r="C75" s="232"/>
      <c r="D75" s="51" t="s">
        <v>65</v>
      </c>
      <c r="E75" s="51" t="s">
        <v>66</v>
      </c>
      <c r="F75" s="59"/>
    </row>
    <row r="76" spans="1:7" ht="207.95" customHeight="1" x14ac:dyDescent="0.25">
      <c r="A76" s="95"/>
      <c r="B76" s="239"/>
      <c r="C76" s="230" t="str">
        <f>'Step 1 - System Definition'!O26</f>
        <v>STN Generator(s) - Backup</v>
      </c>
      <c r="D76" s="35" t="str">
        <f>'Step 2 - Service Definition'!F27</f>
        <v>Controller Parameters &amp; Access
Which operating parameters are configurable: voltage setpoint/AVR limits, frequency/governor setpoint, ramp rates, droop/isochronous mode, protective thresholds (oil pressure, coolant temp, over/under voltage/frequency, overcurrent), start/stop delays, warm‑up/cool‑down times?
Where can parameters be changed (local controller HMI, engineering workstation, STN PLC)?
Readiness &amp; Protection Inputs
What readiness signals are provided: generator running, at‑voltage, at‑frequency, breaker open/closed, sync available (if paralleling)?
What protection/alarms are mapped: low oil pressure, high coolant temp, overspeed, under/over voltage/frequency, E‑stop, fuel low, battery low, charger fail, controller fault?
Power Quality &amp; Metering
Which metering values are available: kW, kVAR, PF, phase voltages, currents, frequency, THD/harmonics (if supported)?
Are there trend buffers or event logs retrievable by the PLC?
Communications Path &amp; Protocols
Are these signals transmitted via hardwired I/O or digital communications? If digital, what protocols are used (e.g., Modbus RTU/TCP, Ethernet/IP, PROFINET, CAN J1939, DNP3)?
What network topology, update rate, and redundancy apply for generator data?
ATS/Genset Interface
How does the generator interact with the ATS (hardwired start command, “ready” feedback, permissives for breaker close)?
Are sync/in‑phase transfer signals used (closed‑transition applications)?
Fuel &amp; Support Systems
Do fuel level, day‑tank pumps, radiator fans, jacket water heaters, and battery chargers provide discrete/analog status inputs to the PLC?
Time Base &amp; SOE
Are time‑stamped events available from the generator controller; how is clock sync (NTP/PTP/GPS or STN PLC) handled?</v>
      </c>
      <c r="E76" s="51" t="str">
        <f>'Step 2 - Service Definition'!G27</f>
        <v>Start/Warm‑up/Transfer Readiness
What start criteria (utility fail, ATS command) initiate generator start?
What warm‑up duration and acceptance windows for voltage/frequency/stability must be met before ATS transfer?
Load Coordination &amp; Prioritization
Which critical loads must be sequenced on first (e.g., lube oil, seal gas, instrument air), and which non‑critical loads are shed during generator operation to remain within kW/kVA limits?
What ramp profiles or soft‑start behaviors (MCC/VFD coordination) are enforced?
Operating Modes
Is the generator in isochronous mode (single unit) or droop (if multiple generators/paralleling)?
Are exercise tests (no‑load or load) scheduled; how does the PLC prevent unintended process impact during tests?
Fault Handling &amp; Recovery
What is the response to fail‑to‑start or run trip (retry count/intervals, lockout, operator intervention)?
How are transfer fail/retransfer fail scenarios handled (hold last safe state, manual override procedures)?
ESD &amp; Blackout Integration
How do ESD sequences treat generator operation—maintain power for essential systems while shedding process loads, or full shutdown depending on philosophy?
Are UPS/DC systems coordinated to bridge transient drops during start/transfer?
Retransfer/Cool‑down
What retransfer criteria (utility restored, stable for N seconds) apply?
How long is cool‑down before stop; are post‑run checks logged?
Performance Monitoring
Which KPIs are tracked (start success rate, runtime hours, load factor, fuel consumption, trips per period) and how are trends used for preventive maintenance?</v>
      </c>
      <c r="F76" s="51" t="str">
        <f>'Step 2 - Service Definition'!H27</f>
        <v>Commands from STN PLC
What outputs start/stop the generator, enable/inhibit auto operation, adjust voltage/frequency targets (if permitted), open/close generator breaker (via permissives/ATS)?
Are these output commands transmitted via hardwired I/O or digital communications? If digital, what protocols are used (e.g., Modbus TCP/RTU, Ethernet/IP, PROFINET, CAN J1939, DNP3)?
Status/Alarms to STN PLC
What status points (running, ready, at‑voltage/at‑frequency, breaker state) and detailed alarms (with codes) are returned?
Are event logs and trend data retrievable via the network (digitally enabled) or only summary discrete signals via hardwired I/O?
Load &amp; PQ Telemetry
What metering values (kW, kVAR, PF, V, I, Hz) are forwarded upstream to HMI/SCADA for energy accounting and load management?
Safety &amp; Interlocks Confirmation
What return signals confirm permissives (E‑stop not active, protective devices healthy) before allowing breaker close or start commands?
How are mismatch/timeout (command issued, feedback not received) conditions alarmed and escalated?
Testing &amp; Maintenance Flags
What outputs/flags indicate test mode active, maintenance inhibit, or remote configuration session so operations can adjust sequencing appropriately?</v>
      </c>
      <c r="G76" s="8"/>
    </row>
    <row r="77" spans="1:7" ht="17.100000000000001" customHeight="1" x14ac:dyDescent="0.25">
      <c r="A77" s="95"/>
      <c r="B77" s="239"/>
      <c r="C77" s="231"/>
      <c r="D77" s="52" t="s">
        <v>63</v>
      </c>
      <c r="E77" s="52" t="s">
        <v>64</v>
      </c>
      <c r="F77" s="57"/>
    </row>
    <row r="78" spans="1:7" ht="207.95" customHeight="1" x14ac:dyDescent="0.25">
      <c r="A78" s="95"/>
      <c r="B78" s="239"/>
      <c r="C78" s="232"/>
      <c r="D78" s="51" t="s">
        <v>65</v>
      </c>
      <c r="E78" s="51" t="s">
        <v>66</v>
      </c>
      <c r="F78" s="59"/>
    </row>
    <row r="79" spans="1:7" ht="207.95" customHeight="1" x14ac:dyDescent="0.25">
      <c r="A79" s="95"/>
      <c r="B79" s="238" t="s">
        <v>46</v>
      </c>
      <c r="C79" s="230" t="str">
        <f>'Step 1 - System Definition'!O27</f>
        <v>DC Power System Rectifier/Controller</v>
      </c>
      <c r="D79" s="35" t="str">
        <f>'Step 2 - Service Definition'!F28</f>
        <v>Controller Configuration &amp; Access
Which parameters are configurable: output voltage setpoint, current limit, float/boost/equalize profiles, battery temperature compensation, alarm thresholds (low/high voltage, charger fail, earth/ground fault)?
Where can parameters be changed (local HMI, engineering workstation, STN PLC interface) and under what role‑based access?
Source &amp; Bus Monitoring
What inputs indicate AC source presence/quality (phase OK, undervoltage, frequency) and rectifier status (module healthy, current share)?
What DC bus measurements are acquired (V, I, ripple, load distribution, ground/earth fault detection, ambient/battery temperature)?
Battery Status &amp; Protection
Which signals reflect battery health (string voltage, internal resistance, temperature), capacity/runtime estimates, string/branch failures, and intercell connection alarms?
Are O.C./O.L. trips, fuse blown, or breaker open indications provided per DC feeder?
Event/Alarm Reporting
What alarms exist (charger fail, low DC, high DC, module failure, ground fault, battery low, equalize active), and are they latched with timestamp?
Communications Path &amp; Protocols
Are these signals transmitted via hardwired I/O or digital communications? If digital, what protocols are used (e.g., Modbus RTU/TCP, Ethernet/IP, PROFINET, DNP3)?
What network topology, update rates, and redundancy are used for DC controller data?
ATS (AC/DC) Interface
How does the controller indicate automatic transfer to battery and back to rectifier (transfer/retransfer signals, acceptance windows)?
Are manual bypass/isolation states reported to the STN PLC?
Time Base &amp; SOE
Does the controller support time‑stamped events/logs, and how is clock synchronization handled (NTP/PTP via network or PLC sync)?</v>
      </c>
      <c r="E79" s="51" t="str">
        <f>'Step 2 - Service Definition'!G28</f>
        <v>Normal Operation &amp; Setpoint Control
What voltage/current regulation strategy is used; how are float and boost/equalize schedules managed to balance battery health and availability?
Are load profile limits set to protect rectifier modules and DC feeders?
Automatic Transfer &amp; Ride‑Through
What acceptance criteria (voltage ripple, stability time) must be met to transfer from rectifier to battery and retransfer back?
How are ride‑through requirements (PLC/control power stability during AC disturbances) validated?
ESD/Blackout Behavior
How does the DC system support ESD sequences (guaranteeing power to critical logic, annunciation, trip relays) while shedding non‑essential DC loads if necessary?
Are UPS devices present and coordinated for sub‑second transitions?
Fault Handling &amp; Recovery
What actions occur on rectifier module failure or charger fail (N+1 behavior, derate alarms, maintenance prompts)?
How are ground‑fault detections treated (alarm only vs trip), and what is the isolation/locating procedure?
Maintenance &amp; Equalize Management
How are equalize windows scheduled (off‑peak), and what inhibits are enforced to avoid overvoltage to sensitive loads?
Are maintenance bypass or test modes controlled and logged (time‑bounded, annunciated)?
Performance Monitoring &amp; KPIs
Which KPIs are tracked (bus voltage stability, ripple, module runtime, number of transfers, battery temperature/IR trend, ground‑fault occurrences) and how are trends used for predictive maintenance?</v>
      </c>
      <c r="F79" s="51" t="str">
        <f>'Step 2 - Service Definition'!H28</f>
        <v>Commands from STN PLC
What outputs adjust setpoints (voltage/current, enable/disable equalize), start/stop equalize, enable/inhibit automatic transfer, or acknowledge/reset alarms?
Are these output commands transmitted via hardwired I/O or digital communications? If digital, what protocols are used (e.g., Modbus TCP/RTU, Ethernet/IP, PROFINET, DNP3)?
Status/Alarms to STN PLC
What status points (rectifier module healthy, bus OK, battery on‑line/off‑line, transfer in‑progress, bypass engaged) and detailed alarms (with codes) are returned?
Are event logs and trend buffers retrievable via network (digitally enabled) or only summary discrete signals via hardwired I/O?
DC Distribution Feedback
What feeder‑level feedback is provided (breaker status, fuse status, feeder current/voltage) to enable load shedding or fault localization at the PLC?
Safety &amp; Interlock Confirmation
What return signals confirm permissives (battery temperature within range, charger available, ground‑fault level acceptable) before enabling equalize or transfer commands?
How are mismatch/timeout conditions (command issued, no state change) alarmed and escalated?
Upstream Telemetry &amp; Visualization
Which DC controller data (bus trends, module health, battery metrics, alarms) are forwarded to station HMI/SCADA for situational awareness and audit?</v>
      </c>
      <c r="G79" s="8"/>
    </row>
    <row r="80" spans="1:7" ht="17.100000000000001" customHeight="1" x14ac:dyDescent="0.25">
      <c r="A80" s="95"/>
      <c r="B80" s="239"/>
      <c r="C80" s="231"/>
      <c r="D80" s="52" t="s">
        <v>63</v>
      </c>
      <c r="E80" s="52" t="s">
        <v>64</v>
      </c>
      <c r="F80" s="57"/>
    </row>
    <row r="81" spans="1:7" ht="207.95" customHeight="1" x14ac:dyDescent="0.25">
      <c r="A81" s="95"/>
      <c r="B81" s="239"/>
      <c r="C81" s="232"/>
      <c r="D81" s="51" t="s">
        <v>65</v>
      </c>
      <c r="E81" s="51" t="s">
        <v>66</v>
      </c>
      <c r="F81" s="59"/>
    </row>
    <row r="82" spans="1:7" ht="207.95" customHeight="1" x14ac:dyDescent="0.25">
      <c r="A82" s="95"/>
      <c r="B82" s="239"/>
      <c r="C82" s="230" t="str">
        <f>'Step 1 - System Definition'!O28</f>
        <v>DC Power Battery Mgmt Controller</v>
      </c>
      <c r="D82" s="35" t="str">
        <f>'Step 2 - Service Definition'!F29</f>
        <v>Configuration &amp; Access
Which parameters can be configured: float/boost/equalize setpoints, charge‑current limit, low/high voltage thresholds, temperature compensation coefficients, ground‑fault/imbalance limits?
Where are changes made (local HMI, engineering workstation, STN PLC) and what roles/authorization govern access?
Measurements &amp; Health Indicators
What measurements are available: cell/jar voltages, string voltage/current, cell/jar temperature, ambient temperature, internal resistance/impedance, ripple?
How does the BMC calculate/report SOH, SOC (where supported), and estimated runtime under typical station load?
Battery Chemistry &amp; Bank Topology
Which battery types are supported (VRLA, flooded lead‑acid, Ni‑Cd); how are string count and cell/jar count represented?
Are parallel strings monitored individually or aggregated; can the BMC identify weak cells/strings?
Protection &amp; Events
What alarms exist (e.g., low DC, high DC, cell voltage deviation, thermal runaway risk, ground fault, open circuit, charger fail)?
Are events time‑stamped and latched; what buffers/log depth is available?
Communications Path &amp; Protocols
Are these signals transmitted via hardwired I/O or digital communications? If digital, what protocols are used (e.g., Modbus RTU/TCP, Ethernet/IP, PROFINET, DNP3, SNMP)?
What network topology, update rates, and redundancy are used?
Integration with DC Power System
How does the BMC interact with the rectifier/charger (float/equalize enable, charge‑current requests, temperature compensation)?
Are DC feeder O.C./O.L. indications tied into the BMC or provided separately to the STN PLC?
Time Base &amp; SOE
Does the BMC synchronize time (NTP/PTP or via PLC) for accurate SOE and trend correlation?</v>
      </c>
      <c r="E82" s="35" t="str">
        <f>'Step 2 - Service Definition'!G29</f>
        <v>Normal Operation &amp; Conditioning
How are float and boost/equalize schedules managed to preserve battery life while ensuring availability?
What temperature compensation policy is applied, and how is it bounded to avoid overvoltage to sensitive loads?
Health Assessment &amp; Trending
What SOH thresholds define available, degraded, or replace‑soon states?
Which KPIs are trended (e.g., cell IR, voltage spread, string current, temperature profile, discharge events) and over what horizons?
Fault Detection &amp; Response
What is the PLC/BMC response to cell/jar deviation, ground fault, thermal excursion, low electrolyte (if instrumented), open‑circuit, or charger fail?
Are derates, load shedding, or maintenance‑required states automatically asserted?
Coordination with DC ATS / Rectifier
During AC loss, how does the BMC confirm battery source transfer and run‑time estimate for critical loads?
What retransfer criteria and stabilization windows apply when AC is restored?
Testing &amp; Maintenance
Are online impedance scans, periodic discharge/capacity tests, or exercise events scheduled?
How are maintenance bypass or test modes annunciated, time‑bounded, and logged?
ESD/Blackout Behavior
What minimum battery availability is required to support ESD sequences and control power ride‑through; how are non‑essential DC loads handled?</v>
      </c>
      <c r="F82" s="35" t="str">
        <f>'Step 2 - Service Definition'!H29</f>
        <v>Commands from STN PLC
What outputs can enable/inhibit equalize, adjust charge‑current limit, acknowledge/reset alarms, initiate diagnostics (impedance scan, discharge test), or enable maintenance bypass?
Are these output commands transmitted via hardwired I/O or digital communications? If digital, what protocols are used (e.g., Modbus TCP/RTU, Ethernet/IP, PROFINET, DNP3, SNMP)?
Status/Alarms to STN PLC
Which status points are returned (battery available/degraded/fail, float/equalize active, string current/voltage, thermal state, ground‑fault level, charger coordination state)?
Are detailed codes and SOE logs retrievable over the network (digitally enabled) or only summary discrete alarms via hardwired I/O?
Predictive &amp; Reporting Data
What runtime estimates, SOH/SOC values, cell IR/voltage spreads, and temperature maps are forwarded for analytics and maintenance planning?
Safety &amp; Interlock Confirmation
What return signals confirm permissives (e.g., temperature within range, no active ground fault above threshold) before allowing equalize or discharge tests?
How are mismatch/timeout conditions (command issued, no state change) alarmed and escalated?
Upstream Telemetry
Which BMC data (trends, alarms, KPIs) are sent to station HMI/SCADA; how are reports generated for compliance and audits?</v>
      </c>
      <c r="G82" s="8"/>
    </row>
    <row r="83" spans="1:7" ht="17.100000000000001" customHeight="1" x14ac:dyDescent="0.25">
      <c r="A83" s="95"/>
      <c r="B83" s="239"/>
      <c r="C83" s="231"/>
      <c r="D83" s="52" t="s">
        <v>63</v>
      </c>
      <c r="E83" s="52" t="s">
        <v>64</v>
      </c>
      <c r="F83" s="57"/>
    </row>
    <row r="84" spans="1:7" ht="207.95" customHeight="1" x14ac:dyDescent="0.25">
      <c r="A84" s="95"/>
      <c r="B84" s="240"/>
      <c r="C84" s="232"/>
      <c r="D84" s="51" t="s">
        <v>65</v>
      </c>
      <c r="E84" s="51" t="s">
        <v>66</v>
      </c>
      <c r="F84" s="59"/>
    </row>
    <row r="85" spans="1:7" ht="207.95" customHeight="1" x14ac:dyDescent="0.25">
      <c r="A85" s="95"/>
      <c r="B85" s="238" t="s">
        <v>49</v>
      </c>
      <c r="C85" s="230" t="str">
        <f>'Step 1 - System Definition'!O29</f>
        <v>Instrument Air Package Controller</v>
      </c>
      <c r="D85" s="35" t="str">
        <f>'Step 2 - Service Definition'!F30</f>
        <v>Configuration &amp; Access (Digitally Enabled)
Which parameters are configurable: header pressure setpoint, compressor load/unload thresholds, lead/lag assignment, auto‑alternation interval, dryer type/mode (refrigerated vs desiccant, heated purge vs heatless), regeneration timing, dew point alarm limits, filter DP alarm limits, receiver tank high/low pressure, auto‑drain scheduling?
Where are changes made (local HMI, engineering workstation, STN PLC), and what roles/authorization apply?
Process Measurements
What measurements are available: header pressure, receiver pressure, dew point at dryer outlet, filter differential pressures, air temperature, compressor discharge pressure, compressor motor current, dryer tower pressures/temperatures (if desiccant), flow (if metered)?
Equipment Health &amp; Status
What status inputs exist: compressor run/ready/fault, motor starter/VFD healthy, dryer ready/regenerating/fault, automatic drain valve status, filter element condition (DP), pressure regulator/valve position feedback (if actuated)?
Are maintenance bypass and isolation valve positions reported?
Communications Path &amp; Protocols
Are these signals transmitted via hardwired I/O or digital communications? If digital, what protocols are used (e.g., Ethernet/IP, PROFIBUS‑DP, PROFINET, Modbus RTU/TCP)?
What network topology, update rates, and redundancy are used for air‑package data?
Electrical/Power &amp; Interlocks
What inputs reflect MCC starter/VFD availability, supply power quality, and local E‑stop?
Which permissives/interlocks must be true to start (receiver not over‑pressure, discharge isolation open, adequate cooling/ventilation)?
Event/Alarm Reporting
Which alarms are latched/time‑stamped (e.g., low header pressure, high dew point, compressor overtemp, dryer failure, filter DP high, drain fault, oil carryover, unexpected pressure decay)?
Time Base &amp; SOE
How are timestamps synchronized (NTP/PTP/GPS or PLC sync) for coherent SOE across STN PLC and the air package?</v>
      </c>
      <c r="E85" s="35" t="str">
        <f>'Step 2 - Service Definition'!G30</f>
        <v>Pressure Control &amp; Capacity Management
What control strategy maintains header pressure (load/unload bands, PID control with VFD, soft‑start ramping)?
How is capacity staged across multiple compressors (lead/lag, demand‑based start, minimum run/stop times to avoid short‑cycling)?
Dryer &amp; Air Quality Strategy
How are dryer cycles (refrigerated on/off, desiccant tower switching/regeneration) managed to meet dew point targets?
What logic isolates a failed dryer and routes air through a healthy path; how are filters monitored and swapped (changeover/bypass) to maintain quality?
Sequence Management
What startup sequence brings the system online (drains → dryers → filters → compressor(s) → pressurize receiver → open to header)?
What shutdown or standby logic protects air quality (purge, dryer cool‑down) and preserves readiness?
Station/Emergency Coordination
How does the controller respond to ESD (maintain air to safety actuators, shed non‑essential air loads, prevent uncontrolled depressurization)?
Are valve actuation demand signals (from STN PLC) considered for anticipatory staging (pre‑charge receiver, tighten pressure bands)?
Fault Handling &amp; Degraded Modes
What is the fallback behavior on compressor trip or dryer failure (auto start next unit, raise alarm, reduce non‑critical usage)?
Is there pressure‑based load shedding (e.g., close non‑essential users via solenoids/IO) to protect critical actuation capacity?
Maintenance &amp; Bypass
How are maintenance overrides (dryer tower offline, filter changeout, drain service) managed—time‑bounded, annunciated, logged?
What test routines (leak‑down test, dew‑point verifications) exist and how are they scheduled?
Performance Monitoring
Which KPIs are tracked: header pressure stability, dew point compliance, compressor runtime/starts, specific power (kW/100 scfm), filter DP trends, unplanned outages, drain cycles?</v>
      </c>
      <c r="F85" s="35" t="str">
        <f>'Step 2 - Service Definition'!H30</f>
        <v>Commands from STN PLC (If Supervisory Control Enabled)
What outputs start/stop compressors, set speed/reference (VFD), select lead/lag, enable/inhibit dryer, initiate dryer regeneration, open/close isolation/bypass valves, and trigger automatic drains?
Are these output commands transmitted via hardwired I/O or digital communications? If digital, what protocols are used (e.g., Ethernet/IP, PROFIBUS‑DP, PROFINET, Modbus RTU/TCP)?
Status/Alarms to STN PLC
What status points are returned (compressor run/ready, dryer mode/regeneration step, dew point, header/receiver pressure, filter DP, drain status)?
Are detailed fault codes and SOE/event logs retrievable via digital comms, or only summary discrete alarms via hardwired I/O?
Air‑Quality &amp; Capacity Telemetry
What dew point, pressure, flow (if available), compressor load/speed, and energy usage values are forwarded for station optimization?
Safety &amp; Interlock Confirmation
What return signals confirm permissives (isolation valves open, dryer ready, drain operational) before enabling sequences?
How are mismatch/timeout conditions (command issued but state not achieved) alarmed and escalated?
HMI/SCADA Visualization
Which dashboards/trends (pressure, dew point, compressor runtime, dryer cycles, filter DP) are published for operators, and how are reports generated for maintenance planning?</v>
      </c>
      <c r="G85" s="8"/>
    </row>
    <row r="86" spans="1:7" ht="17.100000000000001" customHeight="1" x14ac:dyDescent="0.25">
      <c r="A86" s="95"/>
      <c r="B86" s="239"/>
      <c r="C86" s="231"/>
      <c r="D86" s="52" t="s">
        <v>63</v>
      </c>
      <c r="E86" s="52" t="s">
        <v>64</v>
      </c>
      <c r="F86" s="57"/>
    </row>
    <row r="87" spans="1:7" ht="207.95" customHeight="1" thickBot="1" x14ac:dyDescent="0.3">
      <c r="A87" s="95"/>
      <c r="B87" s="239"/>
      <c r="C87" s="231"/>
      <c r="D87" s="171" t="s">
        <v>65</v>
      </c>
      <c r="E87" s="171" t="s">
        <v>66</v>
      </c>
      <c r="F87" s="172"/>
    </row>
    <row r="88" spans="1:7" ht="207.95" customHeight="1" x14ac:dyDescent="0.25">
      <c r="A88" s="95"/>
      <c r="B88" s="241" t="s">
        <v>210</v>
      </c>
      <c r="C88" s="245" t="str">
        <f>'Step 1 - System Definition'!O30</f>
        <v>&lt;User Defined&gt;</v>
      </c>
      <c r="D88" s="33" t="str">
        <f>'Step 2 - Service Definition'!F31</f>
        <v>Signal Inventory &amp; Origins
What inputs are required (process measurements, device statuses, environmental sensors, operator entries)?
What are the source devices (make/model/type) and signal types (discrete, analog, fieldbus, wireless)?
Transmission Path &amp; Protocols
Are these signals transmitted via hardwired I/O or digital communications? If digital, what protocols are used (e.g., Ethernet/IP, PROFINET, PROFIBUS‑DP, Modbus RTU/TCP, DNP3, IEC‑104, OPC UA, CAN/J1939, HART)?
Describe the physical media (copper, fiber, serial), topology (star/ring/mesh), and redundancy (dual NIC, dual ring, hot‑standby).
Acquisition Characteristics
What are the scan/update rates, deadbands, calibration ranges, engineering unit conversions, and timestamp resolution for each input class?
How is time synchronization handled (NTP/PTP/GPS/IRIG‑B; master/slave sources)?
Configuration &amp; Authority
If digitally enabled, what parameters can be configured (setpoints, limits, ramps, schedules, firmware options)?
Where is configuration performed (local HMI, engineering workstation, supervisory PLC/SCADA) and under what role‑based access?
Data Integrity &amp; Health
What data quality flags (OK/uncertain/bad), validation/voting, range checks, sensor diagnostics (HART status, device health) are used?
How are line‑supervision (open/short detection), de‑energize‑to‑trip conventions, and wired failsafe inputs implemented?
Boundary Conditions
Which permissives/interlocks must be true to accept inputs (e.g., mode, bypass states, maintenance lockouts)?
Are bypass/inhibit paths present, and how are they annunciated and time‑bounded?
External Data &amp; References
Does the system ingest upstream commands (Gas Control setpoints, ESD states, optimization directives) or reference datasets (maps, curves, coefficients)?
How is versioning and provenance tracked for such inputs?</v>
      </c>
      <c r="E88" s="33" t="str">
        <f>'Step 2 - Service Definition'!G31</f>
        <v>Modes &amp; State Machine
What operational modes exist (Auto/Manual/Local/Remote/Test/Bypass) and what transition criteria move between them?
Provide a state‑sequence overview (Startup → Run → Transient/Degraded → Shutdown/Standby).
Control Strategy
What algorithms are used (On/Off bands, PID/PI, cascades, feedforward, map tracking, voting)?
How are rate limits, ramps, bumpless transfer, and anti‑windup implemented?
Coordination with Other Systems
How does the system interact with Station/Unit/ESD PLCs, MCC/VFDs, ATS/generators, rectifier/DC systems, instrument air, seal/lube auxiliaries?
What handshake (command→accept→execute→prove) and priority rules govern arbitration?
Digital Configuration in Operation
Which parameters are operator‑tunable (setpoints, limits, timers) and how are changes logged (SOE, audit trail)?
Are download/apply procedures staged (preview, checksum, apply, rollback)?
Fault Handling &amp; Degraded Modes
Define fallback behaviors on device faults, comms loss, bad data quality (hold last good, safe state, degraded mode).
What automatic retries, lockouts, and operator interventions are required?
Maintenance &amp; Test
How are maintenance modes and test routines invoked (simulation, stroking tests, leakdown, capacity tests), and how are they annunciated and time‑bounded?
What post‑test normalization and re‑enable criteria apply?
Performance Monitoring &amp; KPIs
Which KPIs (tracking error, availability, runtime, starts/stops, energy use, quality compliance) are computed; at what cadence?
How are threshold breaches handled (alarm, advisory, reconfiguration request)?</v>
      </c>
      <c r="F88" s="174" t="str">
        <f>'Step 2 - Service Definition'!H31</f>
        <v>Actuation &amp; Command Paths
What outputs start/stop, set speed/position/reference, open/close valves/dampers/contactors, initiate cycles (e.g., regeneration, equalize)?
Are these output commands transmitted via hardwired I/O or digital communications? If digital, what protocols are used (e.g., Ethernet/IP, PROFINET, PROFIBUS‑DP, Modbus RTU/TCP, CAN/J1939)?
Feedback &amp; Proof‑of‑Action
What return signals confirm execution (end‑of‑travel, breaker closed, speed achieved, pressure/flow target, quality metric met)?
Define mismatch/timeout alarming and escalation.
Status/Alarm Publication
Which status points, alarms, SOE entries, and trend telemetry are published to STN PLC/HMI/SCADA (and at what rates)?
Are detailed fault codes available via digital comms, and summary discrete alarms available via hardwired I/O?
Data Models &amp; Interfaces
What tags/registers/data sets are exposed (IDs, units, scaling, ranges), and how is schema/versioning managed?
Are northbound integrations (historian, analytics, CMMS) present; describe push/pull and transport (e.g., OPC UA, MQTT).
Safety &amp; Interlocks Confirmation
What outputs/flags assert permissives or interlocks (ready/healthy, bypass engaged, isolation open) to upstream logic?
How are ESD/Trip notifications published (latched states, reset conditions)?
Administration &amp; Lifecycle
How are firmware updates, license keys, time sync, device identity (serial, MAC, certs), and asset metadata reported?
What audit logs (config changes, mode changes, commands) are retained and for how long?</v>
      </c>
      <c r="G88" s="8"/>
    </row>
    <row r="89" spans="1:7" ht="17.100000000000001" customHeight="1" x14ac:dyDescent="0.25">
      <c r="A89" s="95"/>
      <c r="B89" s="242"/>
      <c r="C89" s="231"/>
      <c r="D89" s="52" t="s">
        <v>63</v>
      </c>
      <c r="E89" s="52" t="s">
        <v>64</v>
      </c>
      <c r="F89" s="175"/>
    </row>
    <row r="90" spans="1:7" ht="207.95" customHeight="1" x14ac:dyDescent="0.25">
      <c r="A90" s="95"/>
      <c r="B90" s="242"/>
      <c r="C90" s="232"/>
      <c r="D90" s="51" t="s">
        <v>65</v>
      </c>
      <c r="E90" s="51" t="s">
        <v>66</v>
      </c>
      <c r="F90" s="176"/>
    </row>
    <row r="91" spans="1:7" ht="207.95" customHeight="1" x14ac:dyDescent="0.25">
      <c r="A91" s="95"/>
      <c r="B91" s="242"/>
      <c r="C91" s="230" t="str">
        <f>'Step 1 - System Definition'!O31</f>
        <v>&lt;User Defined&gt;</v>
      </c>
      <c r="D91" s="35" t="str">
        <f>'Step 2 - Service Definition'!F32</f>
        <v>Signal Inventory &amp; Origins
What inputs are required (process measurements, device statuses, environmental sensors, operator entries)?
What are the source devices (make/model/type) and signal types (discrete, analog, fieldbus, wireless)?
Transmission Path &amp; Protocols
Are these signals transmitted via hardwired I/O or digital communications? If digital, what protocols are used (e.g., Ethernet/IP, PROFINET, PROFIBUS‑DP, Modbus RTU/TCP, DNP3, IEC‑104, OPC UA, CAN/J1939, HART)?
Describe the physical media (copper, fiber, serial), topology (star/ring/mesh), and redundancy (dual NIC, dual ring, hot‑standby).
Acquisition Characteristics
What are the scan/update rates, deadbands, calibration ranges, engineering unit conversions, and timestamp resolution for each input class?
How is time synchronization handled (NTP/PTP/GPS/IRIG‑B; master/slave sources)?
Configuration &amp; Authority
If digitally enabled, what parameters can be configured (setpoints, limits, ramps, schedules, firmware options)?
Where is configuration performed (local HMI, engineering workstation, supervisory PLC/SCADA) and under what role‑based access?
Data Integrity &amp; Health
What data quality flags (OK/uncertain/bad), validation/voting, range checks, sensor diagnostics (HART status, device health) are used?
How are line‑supervision (open/short detection), de‑energize‑to‑trip conventions, and wired failsafe inputs implemented?
Boundary Conditions
Which permissives/interlocks must be true to accept inputs (e.g., mode, bypass states, maintenance lockouts)?
Are bypass/inhibit paths present, and how are they annunciated and time‑bounded?
External Data &amp; References
Does the system ingest upstream commands (Gas Control setpoints, ESD states, optimization directives) or reference datasets (maps, curves, coefficients)?
How is versioning and provenance tracked for such inputs?</v>
      </c>
      <c r="E91" s="35" t="str">
        <f>'Step 2 - Service Definition'!G32</f>
        <v>Modes &amp; State Machine
What operational modes exist (Auto/Manual/Local/Remote/Test/Bypass) and what transition criteria move between them?
Provide a state‑sequence overview (Startup → Run → Transient/Degraded → Shutdown/Standby).
Control Strategy
What algorithms are used (On/Off bands, PID/PI, cascades, feedforward, map tracking, voting)?
How are rate limits, ramps, bumpless transfer, and anti‑windup implemented?
Coordination with Other Systems
How does the system interact with Station/Unit/ESD PLCs, MCC/VFDs, ATS/generators, rectifier/DC systems, instrument air, seal/lube auxiliaries?
What handshake (command→accept→execute→prove) and priority rules govern arbitration?
Digital Configuration in Operation
Which parameters are operator‑tunable (setpoints, limits, timers) and how are changes logged (SOE, audit trail)?
Are download/apply procedures staged (preview, checksum, apply, rollback)?
Fault Handling &amp; Degraded Modes
Define fallback behaviors on device faults, comms loss, bad data quality (hold last good, safe state, degraded mode).
What automatic retries, lockouts, and operator interventions are required?
Maintenance &amp; Test
How are maintenance modes and test routines invoked (simulation, stroking tests, leakdown, capacity tests), and how are they annunciated and time‑bounded?
What post‑test normalization and re‑enable criteria apply?
Performance Monitoring &amp; KPIs
Which KPIs (tracking error, availability, runtime, starts/stops, energy use, quality compliance) are computed; at what cadence?
How are threshold breaches handled (alarm, advisory, reconfiguration request)?</v>
      </c>
      <c r="F91" s="177" t="str">
        <f>'Step 2 - Service Definition'!H32</f>
        <v>Actuation &amp; Command Paths
What outputs start/stop, set speed/position/reference, open/close valves/dampers/contactors, initiate cycles (e.g., regeneration, equalize)?
Are these output commands transmitted via hardwired I/O or digital communications? If digital, what protocols are used (e.g., Ethernet/IP, PROFINET, PROFIBUS‑DP, Modbus RTU/TCP, CAN/J1939)?
Feedback &amp; Proof‑of‑Action
What return signals confirm execution (end‑of‑travel, breaker closed, speed achieved, pressure/flow target, quality metric met)?
Define mismatch/timeout alarming and escalation.
Status/Alarm Publication
Which status points, alarms, SOE entries, and trend telemetry are published to STN PLC/HMI/SCADA (and at what rates)?
Are detailed fault codes available via digital comms, and summary discrete alarms available via hardwired I/O?
Data Models &amp; Interfaces
What tags/registers/data sets are exposed (IDs, units, scaling, ranges), and how is schema/versioning managed?
Are northbound integrations (historian, analytics, CMMS) present; describe push/pull and transport (e.g., OPC UA, MQTT).
Safety &amp; Interlocks Confirmation
What outputs/flags assert permissives or interlocks (ready/healthy, bypass engaged, isolation open) to upstream logic?
How are ESD/Trip notifications published (latched states, reset conditions)?
Administration &amp; Lifecycle
How are firmware updates, license keys, time sync, device identity (serial, MAC, certs), and asset metadata reported?
What audit logs (config changes, mode changes, commands) are retained and for how long?</v>
      </c>
      <c r="G91" s="15"/>
    </row>
    <row r="92" spans="1:7" ht="17.100000000000001" customHeight="1" x14ac:dyDescent="0.25">
      <c r="A92" s="95"/>
      <c r="B92" s="242"/>
      <c r="C92" s="231"/>
      <c r="D92" s="52" t="s">
        <v>63</v>
      </c>
      <c r="E92" s="52" t="s">
        <v>64</v>
      </c>
      <c r="F92" s="175"/>
    </row>
    <row r="93" spans="1:7" ht="207.95" customHeight="1" x14ac:dyDescent="0.25">
      <c r="A93" s="95"/>
      <c r="B93" s="242"/>
      <c r="C93" s="232"/>
      <c r="D93" s="51" t="s">
        <v>65</v>
      </c>
      <c r="E93" s="51" t="s">
        <v>66</v>
      </c>
      <c r="F93" s="176"/>
    </row>
    <row r="94" spans="1:7" ht="207.95" customHeight="1" x14ac:dyDescent="0.25">
      <c r="A94" s="95"/>
      <c r="B94" s="242"/>
      <c r="C94" s="230" t="str">
        <f>'Step 1 - System Definition'!O32</f>
        <v>&lt;User Defined&gt;</v>
      </c>
      <c r="D94" s="35" t="str">
        <f>'Step 2 - Service Definition'!F33</f>
        <v>Signal Inventory &amp; Origins
What inputs are required (process measurements, device statuses, environmental sensors, operator entries)?
What are the source devices (make/model/type) and signal types (discrete, analog, fieldbus, wireless)?
Transmission Path &amp; Protocols
Are these signals transmitted via hardwired I/O or digital communications? If digital, what protocols are used (e.g., Ethernet/IP, PROFINET, PROFIBUS‑DP, Modbus RTU/TCP, DNP3, IEC‑104, OPC UA, CAN/J1939, HART)?
Describe the physical media (copper, fiber, serial), topology (star/ring/mesh), and redundancy (dual NIC, dual ring, hot‑standby).
Acquisition Characteristics
What are the scan/update rates, deadbands, calibration ranges, engineering unit conversions, and timestamp resolution for each input class?
How is time synchronization handled (NTP/PTP/GPS/IRIG‑B; master/slave sources)?
Configuration &amp; Authority
If digitally enabled, what parameters can be configured (setpoints, limits, ramps, schedules, firmware options)?
Where is configuration performed (local HMI, engineering workstation, supervisory PLC/SCADA) and under what role‑based access?
Data Integrity &amp; Health
What data quality flags (OK/uncertain/bad), validation/voting, range checks, sensor diagnostics (HART status, device health) are used?
How are line‑supervision (open/short detection), de‑energize‑to‑trip conventions, and wired failsafe inputs implemented?
Boundary Conditions
Which permissives/interlocks must be true to accept inputs (e.g., mode, bypass states, maintenance lockouts)?
Are bypass/inhibit paths present, and how are they annunciated and time‑bounded?
External Data &amp; References
Does the system ingest upstream commands (Gas Control setpoints, ESD states, optimization directives) or reference datasets (maps, curves, coefficients)?
How is versioning and provenance tracked for such inputs?</v>
      </c>
      <c r="E94" s="35" t="str">
        <f>'Step 2 - Service Definition'!G33</f>
        <v>Modes &amp; State Machine
What operational modes exist (Auto/Manual/Local/Remote/Test/Bypass) and what transition criteria move between them?
Provide a state‑sequence overview (Startup → Run → Transient/Degraded → Shutdown/Standby).
Control Strategy
What algorithms are used (On/Off bands, PID/PI, cascades, feedforward, map tracking, voting)?
How are rate limits, ramps, bumpless transfer, and anti‑windup implemented?
Coordination with Other Systems
How does the system interact with Station/Unit/ESD PLCs, MCC/VFDs, ATS/generators, rectifier/DC systems, instrument air, seal/lube auxiliaries?
What handshake (command→accept→execute→prove) and priority rules govern arbitration?
Digital Configuration in Operation
Which parameters are operator‑tunable (setpoints, limits, timers) and how are changes logged (SOE, audit trail)?
Are download/apply procedures staged (preview, checksum, apply, rollback)?
Fault Handling &amp; Degraded Modes
Define fallback behaviors on device faults, comms loss, bad data quality (hold last good, safe state, degraded mode).
What automatic retries, lockouts, and operator interventions are required?
Maintenance &amp; Test
How are maintenance modes and test routines invoked (simulation, stroking tests, leakdown, capacity tests), and how are they annunciated and time‑bounded?
What post‑test normalization and re‑enable criteria apply?
Performance Monitoring &amp; KPIs
Which KPIs (tracking error, availability, runtime, starts/stops, energy use, quality compliance) are computed; at what cadence?
How are threshold breaches handled (alarm, advisory, reconfiguration request)?</v>
      </c>
      <c r="F94" s="177" t="str">
        <f>'Step 2 - Service Definition'!H33</f>
        <v>Actuation &amp; Command Paths
What outputs start/stop, set speed/position/reference, open/close valves/dampers/contactors, initiate cycles (e.g., regeneration, equalize)?
Are these output commands transmitted via hardwired I/O or digital communications? If digital, what protocols are used (e.g., Ethernet/IP, PROFINET, PROFIBUS‑DP, Modbus RTU/TCP, CAN/J1939)?
Feedback &amp; Proof‑of‑Action
What return signals confirm execution (end‑of‑travel, breaker closed, speed achieved, pressure/flow target, quality metric met)?
Define mismatch/timeout alarming and escalation.
Status/Alarm Publication
Which status points, alarms, SOE entries, and trend telemetry are published to STN PLC/HMI/SCADA (and at what rates)?
Are detailed fault codes available via digital comms, and summary discrete alarms available via hardwired I/O?
Data Models &amp; Interfaces
What tags/registers/data sets are exposed (IDs, units, scaling, ranges), and how is schema/versioning managed?
Are northbound integrations (historian, analytics, CMMS) present; describe push/pull and transport (e.g., OPC UA, MQTT).
Safety &amp; Interlocks Confirmation
What outputs/flags assert permissives or interlocks (ready/healthy, bypass engaged, isolation open) to upstream logic?
How are ESD/Trip notifications published (latched states, reset conditions)?
Administration &amp; Lifecycle
How are firmware updates, license keys, time sync, device identity (serial, MAC, certs), and asset metadata reported?
What audit logs (config changes, mode changes, commands) are retained and for how long?</v>
      </c>
    </row>
    <row r="95" spans="1:7" ht="17.100000000000001" customHeight="1" x14ac:dyDescent="0.25">
      <c r="A95" s="95"/>
      <c r="B95" s="242"/>
      <c r="C95" s="231"/>
      <c r="D95" s="52" t="s">
        <v>63</v>
      </c>
      <c r="E95" s="52" t="s">
        <v>64</v>
      </c>
      <c r="F95" s="175"/>
    </row>
    <row r="96" spans="1:7" ht="207.95" customHeight="1" thickBot="1" x14ac:dyDescent="0.3">
      <c r="A96" s="95"/>
      <c r="B96" s="243"/>
      <c r="C96" s="246"/>
      <c r="D96" s="178" t="s">
        <v>65</v>
      </c>
      <c r="E96" s="178" t="s">
        <v>66</v>
      </c>
      <c r="F96" s="179"/>
    </row>
    <row r="97" spans="1:6" ht="207.95" customHeight="1" x14ac:dyDescent="0.25">
      <c r="A97" s="173"/>
      <c r="B97" s="1"/>
      <c r="C97" s="236"/>
      <c r="D97" s="4"/>
      <c r="E97" s="4"/>
      <c r="F97" s="4"/>
    </row>
    <row r="98" spans="1:6" ht="17.100000000000001" customHeight="1" x14ac:dyDescent="0.25">
      <c r="A98" s="173"/>
      <c r="B98" s="1"/>
      <c r="C98" s="194"/>
      <c r="D98" s="4"/>
      <c r="E98" s="4"/>
      <c r="F98" s="4"/>
    </row>
    <row r="99" spans="1:6" ht="207.95" customHeight="1" x14ac:dyDescent="0.25">
      <c r="A99" s="173"/>
      <c r="B99" s="1"/>
      <c r="C99" s="194"/>
      <c r="D99" s="4"/>
      <c r="E99" s="4"/>
      <c r="F99" s="4"/>
    </row>
    <row r="100" spans="1:6" ht="207.95" customHeight="1" x14ac:dyDescent="0.25">
      <c r="A100" s="173"/>
      <c r="B100" s="1"/>
      <c r="C100" s="236"/>
      <c r="D100" s="4"/>
      <c r="E100" s="4"/>
      <c r="F100" s="4"/>
    </row>
    <row r="101" spans="1:6" ht="17.100000000000001" customHeight="1" x14ac:dyDescent="0.25">
      <c r="A101" s="173"/>
      <c r="B101" s="1"/>
      <c r="C101" s="194"/>
      <c r="D101" s="4"/>
      <c r="E101" s="4"/>
      <c r="F101" s="4"/>
    </row>
    <row r="102" spans="1:6" ht="207.95" customHeight="1" x14ac:dyDescent="0.25">
      <c r="A102" s="173"/>
      <c r="B102" s="1"/>
      <c r="C102" s="194"/>
      <c r="D102" s="4"/>
      <c r="E102" s="4"/>
      <c r="F102" s="4"/>
    </row>
    <row r="103" spans="1:6" ht="207.95" customHeight="1" x14ac:dyDescent="0.25">
      <c r="A103" s="173"/>
      <c r="B103" s="1"/>
      <c r="C103" s="236"/>
      <c r="D103" s="4"/>
      <c r="E103" s="4"/>
      <c r="F103" s="4"/>
    </row>
    <row r="104" spans="1:6" ht="17.100000000000001" customHeight="1" x14ac:dyDescent="0.25">
      <c r="A104" s="173"/>
      <c r="B104" s="1"/>
      <c r="C104" s="194"/>
      <c r="D104" s="4"/>
      <c r="E104" s="4"/>
      <c r="F104" s="4"/>
    </row>
    <row r="105" spans="1:6" ht="207.95" customHeight="1" x14ac:dyDescent="0.25">
      <c r="A105" s="173"/>
      <c r="B105" s="1"/>
      <c r="C105" s="194"/>
      <c r="D105" s="4"/>
      <c r="E105" s="4"/>
      <c r="F105" s="4"/>
    </row>
    <row r="106" spans="1:6" ht="207.95" customHeight="1" x14ac:dyDescent="0.25">
      <c r="A106" s="173"/>
      <c r="C106" s="236"/>
      <c r="D106" s="4"/>
      <c r="E106" s="4"/>
      <c r="F106" s="4"/>
    </row>
    <row r="107" spans="1:6" ht="17.100000000000001" customHeight="1" x14ac:dyDescent="0.25">
      <c r="A107" s="173"/>
      <c r="B107" s="1"/>
      <c r="C107" s="194"/>
      <c r="D107" s="4"/>
      <c r="E107" s="4"/>
      <c r="F107" s="4"/>
    </row>
    <row r="108" spans="1:6" ht="207.95" customHeight="1" x14ac:dyDescent="0.25">
      <c r="A108" s="173"/>
      <c r="B108" s="1"/>
      <c r="C108" s="194"/>
      <c r="D108" s="4"/>
      <c r="E108" s="4"/>
      <c r="F108" s="4"/>
    </row>
    <row r="109" spans="1:6" ht="207.95" customHeight="1" x14ac:dyDescent="0.25">
      <c r="A109" s="173"/>
      <c r="B109" s="1"/>
      <c r="C109" s="236"/>
      <c r="D109" s="4"/>
      <c r="E109" s="4"/>
      <c r="F109" s="4"/>
    </row>
    <row r="110" spans="1:6" ht="17.100000000000001" customHeight="1" x14ac:dyDescent="0.25">
      <c r="A110" s="173"/>
      <c r="B110" s="1"/>
      <c r="C110" s="194"/>
      <c r="D110" s="4"/>
      <c r="E110" s="4"/>
      <c r="F110" s="4"/>
    </row>
    <row r="111" spans="1:6" ht="207.95" customHeight="1" x14ac:dyDescent="0.25">
      <c r="A111" s="173"/>
      <c r="B111" s="1"/>
      <c r="C111" s="194"/>
      <c r="D111" s="4"/>
      <c r="E111" s="4"/>
      <c r="F111" s="4"/>
    </row>
    <row r="112" spans="1:6" ht="207.95" customHeight="1" x14ac:dyDescent="0.25">
      <c r="A112" s="173"/>
      <c r="B112" s="1"/>
      <c r="C112" s="236"/>
      <c r="D112" s="4"/>
      <c r="E112" s="4"/>
      <c r="F112" s="4"/>
    </row>
    <row r="113" spans="1:6" ht="17.100000000000001" customHeight="1" x14ac:dyDescent="0.25">
      <c r="A113" s="173"/>
      <c r="B113" s="1"/>
      <c r="C113" s="194"/>
      <c r="D113" s="4"/>
      <c r="E113" s="4"/>
      <c r="F113" s="4"/>
    </row>
    <row r="114" spans="1:6" ht="207.95" customHeight="1" x14ac:dyDescent="0.25">
      <c r="A114" s="173"/>
      <c r="B114" s="1"/>
      <c r="C114" s="194"/>
      <c r="D114" s="4"/>
      <c r="E114" s="4"/>
      <c r="F114" s="4"/>
    </row>
    <row r="115" spans="1:6" ht="207.95" customHeight="1" x14ac:dyDescent="0.25">
      <c r="A115" s="173"/>
      <c r="C115" s="236"/>
      <c r="D115" s="4"/>
      <c r="E115" s="4"/>
      <c r="F115" s="4"/>
    </row>
    <row r="116" spans="1:6" ht="17.100000000000001" customHeight="1" x14ac:dyDescent="0.25">
      <c r="A116" s="173"/>
      <c r="B116" s="1"/>
      <c r="C116" s="194"/>
      <c r="D116" s="4"/>
      <c r="E116" s="4"/>
      <c r="F116" s="4"/>
    </row>
    <row r="117" spans="1:6" ht="207.95" customHeight="1" x14ac:dyDescent="0.25">
      <c r="A117" s="173"/>
      <c r="B117" s="1"/>
      <c r="C117" s="194"/>
      <c r="D117" s="4"/>
      <c r="E117" s="4"/>
      <c r="F117" s="4"/>
    </row>
    <row r="118" spans="1:6" ht="207.95" customHeight="1" x14ac:dyDescent="0.25">
      <c r="A118" s="173"/>
      <c r="B118" s="1"/>
      <c r="D118" s="4"/>
      <c r="E118" s="4"/>
      <c r="F118" s="4"/>
    </row>
    <row r="119" spans="1:6" ht="17.100000000000001" customHeight="1" x14ac:dyDescent="0.25">
      <c r="A119" s="173"/>
      <c r="B119" s="1"/>
      <c r="D119" s="4"/>
      <c r="E119" s="4"/>
      <c r="F119" s="4"/>
    </row>
    <row r="120" spans="1:6" ht="207.95" customHeight="1" x14ac:dyDescent="0.25">
      <c r="A120" s="173"/>
      <c r="B120" s="1"/>
      <c r="D120" s="4"/>
      <c r="E120" s="4"/>
      <c r="F120" s="4"/>
    </row>
    <row r="121" spans="1:6" ht="207.95" customHeight="1" x14ac:dyDescent="0.25">
      <c r="A121" s="173"/>
      <c r="B121" s="1"/>
      <c r="D121" s="4"/>
      <c r="E121" s="4"/>
      <c r="F121" s="4"/>
    </row>
    <row r="122" spans="1:6" ht="17.100000000000001" customHeight="1" x14ac:dyDescent="0.25">
      <c r="A122" s="173"/>
      <c r="B122" s="1"/>
      <c r="D122" s="4"/>
      <c r="E122" s="4"/>
      <c r="F122" s="4"/>
    </row>
    <row r="123" spans="1:6" ht="207.95" customHeight="1" x14ac:dyDescent="0.25">
      <c r="A123" s="173"/>
      <c r="B123" s="1"/>
      <c r="D123" s="4"/>
      <c r="E123" s="4"/>
      <c r="F123" s="4"/>
    </row>
    <row r="124" spans="1:6" ht="207.95" customHeight="1" x14ac:dyDescent="0.25">
      <c r="A124" s="173"/>
      <c r="D124" s="4"/>
      <c r="E124" s="4"/>
      <c r="F124" s="4"/>
    </row>
    <row r="125" spans="1:6" ht="17.100000000000001" customHeight="1" x14ac:dyDescent="0.25">
      <c r="A125" s="173"/>
      <c r="B125" s="86"/>
      <c r="D125" s="4"/>
      <c r="E125" s="4"/>
      <c r="F125" s="4"/>
    </row>
    <row r="126" spans="1:6" ht="207.95" customHeight="1" x14ac:dyDescent="0.25">
      <c r="A126" s="173"/>
      <c r="B126" s="86"/>
      <c r="D126" s="4"/>
      <c r="E126" s="4"/>
      <c r="F126" s="4"/>
    </row>
    <row r="127" spans="1:6" ht="207.95" customHeight="1" x14ac:dyDescent="0.25">
      <c r="A127" s="173"/>
      <c r="B127" s="86"/>
      <c r="D127" s="4"/>
      <c r="E127" s="4"/>
      <c r="F127" s="4"/>
    </row>
    <row r="128" spans="1:6" ht="17.100000000000001" customHeight="1" x14ac:dyDescent="0.25">
      <c r="A128" s="173"/>
      <c r="B128" s="86"/>
      <c r="D128" s="4"/>
      <c r="E128" s="4"/>
      <c r="F128" s="4"/>
    </row>
    <row r="129" spans="1:6" ht="207.95" customHeight="1" x14ac:dyDescent="0.25">
      <c r="A129" s="173"/>
      <c r="B129" s="86"/>
      <c r="D129" s="4"/>
      <c r="E129" s="4"/>
      <c r="F129" s="4"/>
    </row>
    <row r="130" spans="1:6" ht="207.95" customHeight="1" x14ac:dyDescent="0.25">
      <c r="A130" s="173"/>
      <c r="B130" s="86"/>
      <c r="D130" s="4"/>
      <c r="E130" s="4"/>
      <c r="F130" s="4"/>
    </row>
    <row r="131" spans="1:6" ht="17.100000000000001" customHeight="1" x14ac:dyDescent="0.25">
      <c r="A131" s="173"/>
      <c r="B131" s="86"/>
      <c r="D131" s="4"/>
      <c r="E131" s="4"/>
      <c r="F131" s="4"/>
    </row>
    <row r="132" spans="1:6" ht="207.95" customHeight="1" x14ac:dyDescent="0.25">
      <c r="A132" s="173"/>
      <c r="B132" s="86"/>
      <c r="D132" s="4"/>
      <c r="E132" s="4"/>
      <c r="F132" s="4"/>
    </row>
    <row r="133" spans="1:6" x14ac:dyDescent="0.25">
      <c r="D133" s="4"/>
      <c r="E133" s="4"/>
      <c r="F133" s="4"/>
    </row>
    <row r="134" spans="1:6" x14ac:dyDescent="0.25">
      <c r="D134" s="4"/>
      <c r="E134" s="4"/>
      <c r="F134" s="4"/>
    </row>
    <row r="135" spans="1:6" x14ac:dyDescent="0.25">
      <c r="D135" s="4"/>
      <c r="E135" s="4"/>
      <c r="F135" s="4"/>
    </row>
  </sheetData>
  <mergeCells count="51">
    <mergeCell ref="H4:N10"/>
    <mergeCell ref="G1:G2"/>
    <mergeCell ref="C82:C84"/>
    <mergeCell ref="C10:C12"/>
    <mergeCell ref="D1:F1"/>
    <mergeCell ref="C4:C6"/>
    <mergeCell ref="C40:C42"/>
    <mergeCell ref="C31:C33"/>
    <mergeCell ref="C25:C27"/>
    <mergeCell ref="C16:C18"/>
    <mergeCell ref="C52:C54"/>
    <mergeCell ref="C55:C57"/>
    <mergeCell ref="C46:C48"/>
    <mergeCell ref="C22:C24"/>
    <mergeCell ref="B2:C2"/>
    <mergeCell ref="B4:B21"/>
    <mergeCell ref="C112:C114"/>
    <mergeCell ref="C88:C90"/>
    <mergeCell ref="C97:C99"/>
    <mergeCell ref="C115:C117"/>
    <mergeCell ref="C79:C81"/>
    <mergeCell ref="C94:C96"/>
    <mergeCell ref="C103:C105"/>
    <mergeCell ref="C109:C111"/>
    <mergeCell ref="B22:B54"/>
    <mergeCell ref="C49:C51"/>
    <mergeCell ref="C58:C60"/>
    <mergeCell ref="C34:C36"/>
    <mergeCell ref="C28:C30"/>
    <mergeCell ref="C37:C39"/>
    <mergeCell ref="B67:B69"/>
    <mergeCell ref="C91:C93"/>
    <mergeCell ref="C67:C69"/>
    <mergeCell ref="C64:C66"/>
    <mergeCell ref="C106:C108"/>
    <mergeCell ref="C73:C75"/>
    <mergeCell ref="C100:C102"/>
    <mergeCell ref="B55:B66"/>
    <mergeCell ref="B70:B78"/>
    <mergeCell ref="B79:B84"/>
    <mergeCell ref="B85:B87"/>
    <mergeCell ref="B88:B96"/>
    <mergeCell ref="D2:F2"/>
    <mergeCell ref="C43:C45"/>
    <mergeCell ref="C61:C63"/>
    <mergeCell ref="C76:C78"/>
    <mergeCell ref="C85:C87"/>
    <mergeCell ref="C70:C72"/>
    <mergeCell ref="C13:C15"/>
    <mergeCell ref="C7:C9"/>
    <mergeCell ref="C19:C2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N64"/>
  <sheetViews>
    <sheetView zoomScaleNormal="100" workbookViewId="0">
      <pane xSplit="3" ySplit="2" topLeftCell="D3" activePane="bottomRight" state="frozen"/>
      <selection pane="topRight" activeCell="D1" sqref="D1"/>
      <selection pane="bottomLeft" activeCell="A4" sqref="A4"/>
      <selection pane="bottomRight" activeCell="H3" sqref="H3:N5"/>
    </sheetView>
  </sheetViews>
  <sheetFormatPr defaultColWidth="9.140625" defaultRowHeight="15" x14ac:dyDescent="0.25"/>
  <cols>
    <col min="1" max="1" width="3.7109375" style="1" customWidth="1"/>
    <col min="2" max="2" width="9.7109375" style="1" customWidth="1"/>
    <col min="3" max="3" width="28.42578125" style="1" customWidth="1"/>
    <col min="4" max="5" width="35.7109375" customWidth="1"/>
    <col min="6" max="6" width="77.85546875" customWidth="1"/>
    <col min="7" max="8" width="9.140625" style="1" customWidth="1"/>
    <col min="9" max="16384" width="9.140625" style="1"/>
  </cols>
  <sheetData>
    <row r="1" spans="1:14" ht="15.95" customHeight="1" thickBot="1" x14ac:dyDescent="0.3">
      <c r="A1" s="20" t="s">
        <v>54</v>
      </c>
      <c r="B1" s="7"/>
      <c r="C1" s="21"/>
      <c r="D1" s="257" t="s">
        <v>67</v>
      </c>
      <c r="E1" s="258"/>
      <c r="F1" s="258"/>
      <c r="G1" s="15"/>
    </row>
    <row r="2" spans="1:14" ht="17.100000000000001" customHeight="1" thickBot="1" x14ac:dyDescent="0.3">
      <c r="A2" s="16"/>
      <c r="B2" s="19"/>
      <c r="C2" s="19"/>
      <c r="D2" s="30" t="s">
        <v>63</v>
      </c>
      <c r="E2" s="31" t="s">
        <v>64</v>
      </c>
      <c r="F2" s="32" t="s">
        <v>67</v>
      </c>
      <c r="G2" s="15"/>
      <c r="H2" s="18" t="s">
        <v>36</v>
      </c>
      <c r="I2" s="4"/>
      <c r="J2" s="4"/>
      <c r="K2" s="4"/>
      <c r="L2" s="4"/>
      <c r="M2" s="4"/>
      <c r="N2" s="4"/>
    </row>
    <row r="3" spans="1:14" ht="409.5" customHeight="1" thickBot="1" x14ac:dyDescent="0.3">
      <c r="A3" s="94" t="s">
        <v>53</v>
      </c>
      <c r="B3" s="259" t="s">
        <v>37</v>
      </c>
      <c r="C3" s="24" t="str">
        <f>'Step 1 - System Definition'!O2</f>
        <v>STN PLC: Flow Control (Discharge)</v>
      </c>
      <c r="D3" s="26" t="str">
        <f>'Step 3 - Consequence Analysis'!D6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 s="33" t="str">
        <f>'Step 3 - Consequence Analysis'!E6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3" s="34" t="s">
        <v>68</v>
      </c>
      <c r="G3" s="8"/>
      <c r="H3" s="190" t="s">
        <v>262</v>
      </c>
      <c r="I3" s="191"/>
      <c r="J3" s="191"/>
      <c r="K3" s="191"/>
      <c r="L3" s="191"/>
      <c r="M3" s="191"/>
      <c r="N3" s="192"/>
    </row>
    <row r="4" spans="1:14" ht="409.5" customHeight="1" thickBot="1" x14ac:dyDescent="0.3">
      <c r="A4" s="95"/>
      <c r="B4" s="260"/>
      <c r="C4" s="24" t="str">
        <f>'Step 1 - System Definition'!O3</f>
        <v>STN PLC: Press Control (Suction or Discharge)</v>
      </c>
      <c r="D4" s="27" t="str">
        <f>'Step 3 - Consequence Analysis'!D9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4" s="35" t="str">
        <f>'Step 3 - Consequence Analysis'!E9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4" s="34" t="s">
        <v>68</v>
      </c>
      <c r="G4" s="8"/>
      <c r="H4" s="193"/>
      <c r="I4" s="194"/>
      <c r="J4" s="194"/>
      <c r="K4" s="194"/>
      <c r="L4" s="194"/>
      <c r="M4" s="194"/>
      <c r="N4" s="195"/>
    </row>
    <row r="5" spans="1:14" ht="409.5" customHeight="1" thickBot="1" x14ac:dyDescent="0.3">
      <c r="A5" s="95"/>
      <c r="B5" s="260"/>
      <c r="C5" s="24" t="str">
        <f>'Step 1 - System Definition'!O4</f>
        <v>STN PLC: Valving (Suction, Discharge, ByPass)</v>
      </c>
      <c r="D5" s="28" t="str">
        <f>'Step 3 - Consequence Analysis'!D12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5" s="36" t="str">
        <f>'Step 3 - Consequence Analysis'!E12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5" s="34" t="s">
        <v>68</v>
      </c>
      <c r="G5" s="8"/>
      <c r="H5" s="196"/>
      <c r="I5" s="197"/>
      <c r="J5" s="197"/>
      <c r="K5" s="197"/>
      <c r="L5" s="197"/>
      <c r="M5" s="197"/>
      <c r="N5" s="198"/>
    </row>
    <row r="6" spans="1:14" ht="409.5" customHeight="1" thickBot="1" x14ac:dyDescent="0.3">
      <c r="A6" s="95"/>
      <c r="B6" s="260"/>
      <c r="C6" s="24" t="str">
        <f>'Step 1 - System Definition'!O5</f>
        <v>STN PLC: Gas Cooling (Unit Discharge)</v>
      </c>
      <c r="D6" s="26" t="str">
        <f>'Step 3 - Consequence Analysis'!D15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6" s="33" t="str">
        <f>'Step 3 - Consequence Analysis'!E15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6" s="37" t="s">
        <v>69</v>
      </c>
      <c r="G6" s="8"/>
      <c r="H6" s="4"/>
      <c r="I6" s="4"/>
      <c r="J6" s="4"/>
      <c r="K6" s="4"/>
      <c r="L6" s="4"/>
      <c r="M6" s="4"/>
      <c r="N6" s="4"/>
    </row>
    <row r="7" spans="1:14" ht="409.5" customHeight="1" thickBot="1" x14ac:dyDescent="0.3">
      <c r="A7" s="95"/>
      <c r="B7" s="260"/>
      <c r="C7" s="24" t="str">
        <f>'Step 1 - System Definition'!O6</f>
        <v>STN PLC: Fuel Gas Supply</v>
      </c>
      <c r="D7" s="27" t="str">
        <f>'Step 3 - Consequence Analysis'!D18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7" s="35" t="str">
        <f>'Step 3 - Consequence Analysis'!E18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7" s="37" t="s">
        <v>69</v>
      </c>
      <c r="G7" s="8"/>
      <c r="H7" s="4"/>
      <c r="I7" s="4"/>
      <c r="J7" s="4"/>
      <c r="K7" s="4"/>
      <c r="L7" s="4"/>
      <c r="M7" s="4"/>
      <c r="N7" s="4"/>
    </row>
    <row r="8" spans="1:14" ht="409.5" customHeight="1" thickBot="1" x14ac:dyDescent="0.3">
      <c r="A8" s="95"/>
      <c r="B8" s="261"/>
      <c r="C8" s="24" t="str">
        <f>'Step 1 - System Definition'!O7</f>
        <v>STN PLC: SCADA Telemetry/Cntrl Aggregator</v>
      </c>
      <c r="D8" s="28" t="str">
        <f>'Step 3 - Consequence Analysis'!D21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8" s="36" t="str">
        <f>'Step 3 - Consequence Analysis'!E21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8" s="37" t="s">
        <v>69</v>
      </c>
      <c r="G8" s="8"/>
      <c r="H8" s="4"/>
      <c r="I8" s="4"/>
      <c r="J8" s="4"/>
      <c r="K8" s="4"/>
      <c r="L8" s="4"/>
      <c r="M8" s="4"/>
      <c r="N8" s="4"/>
    </row>
    <row r="9" spans="1:14" ht="409.5" customHeight="1" thickBot="1" x14ac:dyDescent="0.3">
      <c r="A9" s="95"/>
      <c r="B9" s="262" t="s">
        <v>38</v>
      </c>
      <c r="C9" s="54" t="str">
        <f>'Step 1 - System Definition'!O8</f>
        <v>Unit PLC: Safe Startup</v>
      </c>
      <c r="D9" s="26" t="str">
        <f>'Step 3 - Consequence Analysis'!D24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9" s="33" t="str">
        <f>'Step 3 - Consequence Analysis'!E24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9" s="37" t="s">
        <v>69</v>
      </c>
      <c r="G9" s="8"/>
      <c r="H9" s="4"/>
      <c r="I9" s="4"/>
      <c r="J9" s="4"/>
      <c r="K9" s="4"/>
      <c r="L9" s="4"/>
      <c r="M9" s="4"/>
      <c r="N9" s="4"/>
    </row>
    <row r="10" spans="1:14" ht="409.5" customHeight="1" thickBot="1" x14ac:dyDescent="0.3">
      <c r="A10" s="95"/>
      <c r="B10" s="193"/>
      <c r="C10" s="55" t="str">
        <f>'Step 1 - System Definition'!O9</f>
        <v>Unit PLC: Safe Idle, Shutdown</v>
      </c>
      <c r="D10" s="27" t="str">
        <f>'Step 3 - Consequence Analysis'!D27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0" s="35" t="str">
        <f>'Step 3 - Consequence Analysis'!E27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0" s="37" t="s">
        <v>69</v>
      </c>
      <c r="G10" s="8"/>
      <c r="H10" s="4"/>
      <c r="I10" s="4"/>
      <c r="J10" s="4"/>
      <c r="K10" s="4"/>
      <c r="L10" s="4"/>
      <c r="M10" s="4"/>
      <c r="N10" s="4"/>
    </row>
    <row r="11" spans="1:14" ht="409.5" customHeight="1" thickBot="1" x14ac:dyDescent="0.3">
      <c r="A11" s="95"/>
      <c r="B11" s="193"/>
      <c r="C11" s="55" t="str">
        <f>'Step 1 - System Definition'!O10</f>
        <v>Unit PLC: Unit Valves Control</v>
      </c>
      <c r="D11" s="27" t="str">
        <f>'Step 3 - Consequence Analysis'!D30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1" s="35" t="str">
        <f>'Step 3 - Consequence Analysis'!E30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1" s="37" t="s">
        <v>69</v>
      </c>
      <c r="G11" s="8"/>
      <c r="H11" s="4"/>
      <c r="I11" s="4"/>
      <c r="J11" s="4"/>
      <c r="K11" s="4"/>
      <c r="L11" s="4"/>
      <c r="M11" s="4"/>
      <c r="N11" s="4"/>
    </row>
    <row r="12" spans="1:14" ht="409.5" customHeight="1" thickBot="1" x14ac:dyDescent="0.3">
      <c r="A12" s="95"/>
      <c r="B12" s="193"/>
      <c r="C12" s="55" t="str">
        <f>'Step 1 - System Definition'!O11</f>
        <v>Unit PLC: Unit Fuel Gas Control</v>
      </c>
      <c r="D12" s="28" t="str">
        <f>'Step 3 - Consequence Analysis'!D33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2" s="36" t="str">
        <f>'Step 3 - Consequence Analysis'!E33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2" s="37" t="s">
        <v>69</v>
      </c>
      <c r="G12" s="8"/>
      <c r="H12" s="4"/>
      <c r="I12" s="4"/>
      <c r="J12" s="4"/>
      <c r="K12" s="4"/>
      <c r="L12" s="4"/>
      <c r="M12" s="4"/>
      <c r="N12" s="4"/>
    </row>
    <row r="13" spans="1:14" ht="409.5" customHeight="1" thickBot="1" x14ac:dyDescent="0.3">
      <c r="A13" s="95"/>
      <c r="B13" s="193"/>
      <c r="C13" s="55" t="str">
        <f>'Step 1 - System Definition'!O12</f>
        <v>Unit PLC: Delivery Control (Speed, DisPress, SucPress)</v>
      </c>
      <c r="D13" s="38" t="str">
        <f>'Step 3 - Consequence Analysis'!D36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3" s="39" t="str">
        <f>'Step 3 - Consequence Analysis'!E36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3" s="37" t="s">
        <v>69</v>
      </c>
      <c r="G13" s="8"/>
      <c r="H13" s="4"/>
      <c r="I13" s="4"/>
      <c r="J13" s="4"/>
      <c r="K13" s="4"/>
      <c r="L13" s="4"/>
      <c r="M13" s="4"/>
      <c r="N13" s="4"/>
    </row>
    <row r="14" spans="1:14" ht="409.5" customHeight="1" thickBot="1" x14ac:dyDescent="0.3">
      <c r="A14" s="95"/>
      <c r="B14" s="193"/>
      <c r="C14" s="55" t="str">
        <f>'Step 1 - System Definition'!O13</f>
        <v>Unit PLC + ASCV: Surge Detection (Compressor)</v>
      </c>
      <c r="D14" s="26" t="str">
        <f>'Step 3 - Consequence Analysis'!D39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4" s="33" t="str">
        <f>'Step 3 - Consequence Analysis'!E39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4" s="37" t="s">
        <v>69</v>
      </c>
      <c r="G14" s="8"/>
      <c r="H14" s="4"/>
      <c r="I14" s="4"/>
      <c r="J14" s="4"/>
      <c r="K14" s="4"/>
      <c r="L14" s="4"/>
      <c r="M14" s="4"/>
      <c r="N14" s="4"/>
    </row>
    <row r="15" spans="1:14" ht="409.5" customHeight="1" thickBot="1" x14ac:dyDescent="0.3">
      <c r="A15" s="95"/>
      <c r="B15" s="193"/>
      <c r="C15" s="55" t="str">
        <f>'Step 1 - System Definition'!O14</f>
        <v>Unit PLC + ASCV: Surge Avoidance (Compressor)</v>
      </c>
      <c r="D15" s="28" t="str">
        <f>'Step 3 - Consequence Analysis'!D42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5" s="36" t="str">
        <f>'Step 3 - Consequence Analysis'!E42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5" s="37" t="s">
        <v>69</v>
      </c>
      <c r="G15" s="8"/>
      <c r="H15" s="4"/>
      <c r="I15" s="4"/>
      <c r="J15" s="4"/>
      <c r="K15" s="4"/>
      <c r="L15" s="4"/>
      <c r="M15" s="4"/>
      <c r="N15" s="4"/>
    </row>
    <row r="16" spans="1:14" ht="409.5" customHeight="1" thickBot="1" x14ac:dyDescent="0.3">
      <c r="A16" s="95"/>
      <c r="B16" s="193"/>
      <c r="C16" s="55" t="str">
        <f>'Step 1 - System Definition'!O15</f>
        <v>Unit PLC: Seals System</v>
      </c>
      <c r="D16" s="26" t="str">
        <f>'Step 3 - Consequence Analysis'!D45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6" s="33" t="str">
        <f>'Step 3 - Consequence Analysis'!E45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6" s="37" t="s">
        <v>69</v>
      </c>
      <c r="G16" s="8"/>
      <c r="H16" s="4"/>
      <c r="I16" s="4"/>
      <c r="J16" s="4"/>
      <c r="K16" s="4"/>
      <c r="L16" s="4"/>
      <c r="M16" s="4"/>
      <c r="N16" s="4"/>
    </row>
    <row r="17" spans="1:14" ht="409.5" customHeight="1" thickBot="1" x14ac:dyDescent="0.3">
      <c r="A17" s="95"/>
      <c r="B17" s="193"/>
      <c r="C17" s="55" t="str">
        <f>'Step 1 - System Definition'!O16</f>
        <v>Unit PLC: Lube Oil System</v>
      </c>
      <c r="D17" s="27" t="str">
        <f>'Step 3 - Consequence Analysis'!D48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7" s="35" t="str">
        <f>'Step 3 - Consequence Analysis'!E48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7" s="37" t="s">
        <v>69</v>
      </c>
      <c r="G17" s="8"/>
      <c r="H17" s="4"/>
      <c r="I17" s="4"/>
      <c r="J17" s="4"/>
      <c r="K17" s="4"/>
      <c r="L17" s="4"/>
      <c r="M17" s="4"/>
      <c r="N17" s="4"/>
    </row>
    <row r="18" spans="1:14" ht="409.5" customHeight="1" thickBot="1" x14ac:dyDescent="0.3">
      <c r="A18" s="95"/>
      <c r="B18" s="193"/>
      <c r="C18" s="55" t="str">
        <f>'Step 1 - System Definition'!O17</f>
        <v>Unit PLC + Discrete Cntrl: Vibration Detection</v>
      </c>
      <c r="D18" s="27" t="str">
        <f>'Step 3 - Consequence Analysis'!D51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8" s="35" t="str">
        <f>'Step 3 - Consequence Analysis'!E51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8" s="37" t="s">
        <v>69</v>
      </c>
      <c r="G18" s="8"/>
      <c r="H18" s="4"/>
      <c r="I18" s="4"/>
      <c r="J18" s="4"/>
      <c r="K18" s="4"/>
      <c r="L18" s="4"/>
      <c r="M18" s="4"/>
      <c r="N18" s="4"/>
    </row>
    <row r="19" spans="1:14" ht="409.5" customHeight="1" thickBot="1" x14ac:dyDescent="0.3">
      <c r="A19" s="95"/>
      <c r="B19" s="219"/>
      <c r="C19" s="56" t="str">
        <f>'Step 1 - System Definition'!O18</f>
        <v>Unit PLC: Temperature Monitoring</v>
      </c>
      <c r="D19" s="28" t="str">
        <f>'Step 3 - Consequence Analysis'!D54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9" s="36" t="str">
        <f>'Step 3 - Consequence Analysis'!E54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9" s="37" t="s">
        <v>69</v>
      </c>
      <c r="G19" s="8"/>
      <c r="H19" s="4"/>
      <c r="I19" s="4"/>
      <c r="J19" s="4"/>
      <c r="K19" s="4"/>
      <c r="L19" s="4"/>
      <c r="M19" s="4"/>
      <c r="N19" s="4"/>
    </row>
    <row r="20" spans="1:14" ht="409.5" customHeight="1" thickBot="1" x14ac:dyDescent="0.3">
      <c r="A20" s="95"/>
      <c r="B20" s="263" t="s">
        <v>39</v>
      </c>
      <c r="C20" s="54" t="str">
        <f>'Step 1 - System Definition'!O19</f>
        <v>ESD PLC: Station/Units Shutdown/Shut-in/Venting</v>
      </c>
      <c r="D20" s="26" t="str">
        <f>'Step 3 - Consequence Analysis'!D57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0" s="33" t="str">
        <f>'Step 3 - Consequence Analysis'!E57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0" s="37" t="s">
        <v>69</v>
      </c>
      <c r="G20" s="8"/>
      <c r="H20" s="4"/>
      <c r="I20" s="4"/>
      <c r="J20" s="4"/>
      <c r="K20" s="4"/>
      <c r="L20" s="4"/>
      <c r="M20" s="4"/>
      <c r="N20" s="4"/>
    </row>
    <row r="21" spans="1:14" ht="409.5" customHeight="1" thickBot="1" x14ac:dyDescent="0.3">
      <c r="A21" s="95"/>
      <c r="B21" s="193"/>
      <c r="C21" s="55" t="str">
        <f>'Step 1 - System Definition'!O20</f>
        <v>Sensing/Detection - Flame Detectors</v>
      </c>
      <c r="D21" s="27" t="str">
        <f>'Step 3 - Consequence Analysis'!D60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1" s="35" t="str">
        <f>'Step 3 - Consequence Analysis'!E60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1" s="37" t="s">
        <v>69</v>
      </c>
      <c r="G21" s="8"/>
      <c r="H21" s="4"/>
      <c r="I21" s="4"/>
      <c r="J21" s="4"/>
      <c r="K21" s="4"/>
      <c r="L21" s="4"/>
      <c r="M21" s="4"/>
      <c r="N21" s="4"/>
    </row>
    <row r="22" spans="1:14" ht="409.5" customHeight="1" thickBot="1" x14ac:dyDescent="0.3">
      <c r="A22" s="95"/>
      <c r="B22" s="193"/>
      <c r="C22" s="55" t="str">
        <f>'Step 1 - System Definition'!O21</f>
        <v>Sensing/Detection - Gas Detectors</v>
      </c>
      <c r="D22" s="27" t="str">
        <f>'Step 3 - Consequence Analysis'!D63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2" s="35" t="str">
        <f>'Step 3 - Consequence Analysis'!E63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2" s="37" t="s">
        <v>69</v>
      </c>
      <c r="G22" s="8"/>
      <c r="H22" s="4"/>
      <c r="I22" s="4"/>
      <c r="J22" s="4"/>
      <c r="K22" s="4"/>
      <c r="L22" s="4"/>
      <c r="M22" s="4"/>
      <c r="N22" s="4"/>
    </row>
    <row r="23" spans="1:14" ht="409.5" customHeight="1" thickBot="1" x14ac:dyDescent="0.3">
      <c r="A23" s="95"/>
      <c r="B23" s="193"/>
      <c r="C23" s="55" t="str">
        <f>'Step 1 - System Definition'!O22</f>
        <v>Manual Pushbuttons - Human Initiated ESD</v>
      </c>
      <c r="D23" s="27" t="str">
        <f>'Step 3 - Consequence Analysis'!D66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3" s="35" t="str">
        <f>'Step 3 - Consequence Analysis'!E66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3" s="37" t="s">
        <v>69</v>
      </c>
      <c r="G23" s="8"/>
      <c r="H23" s="4"/>
      <c r="I23" s="4"/>
      <c r="J23" s="4"/>
      <c r="K23" s="4"/>
      <c r="L23" s="4"/>
      <c r="M23" s="4"/>
      <c r="N23" s="4"/>
    </row>
    <row r="24" spans="1:14" ht="409.5" customHeight="1" thickBot="1" x14ac:dyDescent="0.3">
      <c r="A24" s="95"/>
      <c r="B24" s="66" t="s">
        <v>41</v>
      </c>
      <c r="C24" s="54" t="str">
        <f>'Step 1 - System Definition'!O23</f>
        <v>Pipeline ops for delivery (STN setpoint, Unit start/stop)</v>
      </c>
      <c r="D24" s="27" t="str">
        <f>'Step 3 - Consequence Analysis'!D69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4" s="35" t="str">
        <f>'Step 3 - Consequence Analysis'!E69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4" s="34" t="s">
        <v>68</v>
      </c>
      <c r="G24" s="8"/>
      <c r="H24" s="4"/>
      <c r="I24" s="4"/>
      <c r="J24" s="4"/>
      <c r="K24" s="4"/>
      <c r="L24" s="4"/>
      <c r="M24" s="4"/>
      <c r="N24" s="4"/>
    </row>
    <row r="25" spans="1:14" ht="409.5" customHeight="1" thickBot="1" x14ac:dyDescent="0.3">
      <c r="A25" s="95"/>
      <c r="B25" s="252" t="s">
        <v>42</v>
      </c>
      <c r="C25" s="55" t="str">
        <f>'Step 1 - System Definition'!O24</f>
        <v>STN MCC</v>
      </c>
      <c r="D25" s="27" t="str">
        <f>'Step 3 - Consequence Analysis'!D72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5" s="35" t="str">
        <f>'Step 3 - Consequence Analysis'!E72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5" s="37" t="s">
        <v>69</v>
      </c>
      <c r="G25" s="8"/>
      <c r="H25" s="4"/>
      <c r="I25" s="4"/>
      <c r="J25" s="4"/>
      <c r="K25" s="4"/>
      <c r="L25" s="4"/>
      <c r="M25" s="4"/>
      <c r="N25" s="4"/>
    </row>
    <row r="26" spans="1:14" ht="409.5" customHeight="1" thickBot="1" x14ac:dyDescent="0.3">
      <c r="A26" s="95"/>
      <c r="B26" s="264"/>
      <c r="C26" s="55" t="str">
        <f>'Step 1 - System Definition'!O25</f>
        <v>STN ATS</v>
      </c>
      <c r="D26" s="27" t="e">
        <f>'Step 3 - Consequence Analysis'!#REF!</f>
        <v>#REF!</v>
      </c>
      <c r="E26" s="35" t="e">
        <f>'Step 3 - Consequence Analysis'!#REF!</f>
        <v>#REF!</v>
      </c>
      <c r="F26" s="37" t="s">
        <v>69</v>
      </c>
      <c r="G26" s="8"/>
      <c r="H26" s="4"/>
      <c r="I26" s="4"/>
      <c r="J26" s="4"/>
      <c r="K26" s="4"/>
      <c r="L26" s="4"/>
      <c r="M26" s="4"/>
      <c r="N26" s="4"/>
    </row>
    <row r="27" spans="1:14" ht="409.5" customHeight="1" thickBot="1" x14ac:dyDescent="0.3">
      <c r="A27" s="95"/>
      <c r="B27" s="264"/>
      <c r="C27" s="55" t="str">
        <f>'Step 1 - System Definition'!O26</f>
        <v>STN Generator(s) - Backup</v>
      </c>
      <c r="D27" s="27" t="e">
        <f>'Step 3 - Consequence Analysis'!#REF!</f>
        <v>#REF!</v>
      </c>
      <c r="E27" s="35" t="e">
        <f>'Step 3 - Consequence Analysis'!#REF!</f>
        <v>#REF!</v>
      </c>
      <c r="F27" s="37" t="s">
        <v>69</v>
      </c>
      <c r="G27" s="8"/>
      <c r="H27" s="4"/>
      <c r="I27" s="4"/>
      <c r="J27" s="4"/>
      <c r="K27" s="4"/>
      <c r="L27" s="4"/>
      <c r="M27" s="4"/>
      <c r="N27" s="4"/>
    </row>
    <row r="28" spans="1:14" ht="409.5" customHeight="1" thickBot="1" x14ac:dyDescent="0.3">
      <c r="A28" s="95"/>
      <c r="B28" s="252" t="s">
        <v>46</v>
      </c>
      <c r="C28" s="55" t="str">
        <f>'Step 1 - System Definition'!O27</f>
        <v>DC Power System Rectifier/Controller</v>
      </c>
      <c r="D28" s="27" t="e">
        <f>'Step 3 - Consequence Analysis'!#REF!</f>
        <v>#REF!</v>
      </c>
      <c r="E28" s="35" t="e">
        <f>'Step 3 - Consequence Analysis'!#REF!</f>
        <v>#REF!</v>
      </c>
      <c r="F28" s="34" t="s">
        <v>68</v>
      </c>
      <c r="G28" s="8"/>
      <c r="H28" s="4"/>
      <c r="I28" s="4"/>
      <c r="J28" s="4"/>
      <c r="K28" s="4"/>
      <c r="L28" s="4"/>
      <c r="M28" s="4"/>
      <c r="N28" s="4"/>
    </row>
    <row r="29" spans="1:14" ht="409.5" customHeight="1" thickBot="1" x14ac:dyDescent="0.3">
      <c r="A29" s="95"/>
      <c r="B29" s="253"/>
      <c r="C29" s="56" t="str">
        <f>'Step 1 - System Definition'!O28</f>
        <v>DC Power Battery Mgmt Controller</v>
      </c>
      <c r="D29" s="27" t="e">
        <f>'Step 3 - Consequence Analysis'!#REF!</f>
        <v>#REF!</v>
      </c>
      <c r="E29" s="35" t="e">
        <f>'Step 3 - Consequence Analysis'!#REF!</f>
        <v>#REF!</v>
      </c>
      <c r="F29" s="34" t="s">
        <v>68</v>
      </c>
      <c r="G29" s="8"/>
      <c r="H29" s="4"/>
      <c r="I29" s="4"/>
      <c r="J29" s="4"/>
      <c r="K29" s="4"/>
      <c r="L29" s="4"/>
      <c r="M29" s="4"/>
      <c r="N29" s="4"/>
    </row>
    <row r="30" spans="1:14" ht="409.5" customHeight="1" thickBot="1" x14ac:dyDescent="0.3">
      <c r="A30" s="95"/>
      <c r="B30" s="183" t="s">
        <v>49</v>
      </c>
      <c r="C30" s="184" t="str">
        <f>'Step 1 - System Definition'!O29</f>
        <v>Instrument Air Package Controller</v>
      </c>
      <c r="D30" s="63" t="e">
        <f>'Step 3 - Consequence Analysis'!#REF!</f>
        <v>#REF!</v>
      </c>
      <c r="E30" s="64" t="e">
        <f>'Step 3 - Consequence Analysis'!#REF!</f>
        <v>#REF!</v>
      </c>
      <c r="F30" s="65" t="s">
        <v>69</v>
      </c>
      <c r="G30" s="8"/>
      <c r="H30" s="4"/>
      <c r="I30" s="4"/>
      <c r="J30" s="4"/>
      <c r="K30" s="4"/>
      <c r="L30" s="4"/>
      <c r="M30" s="4"/>
      <c r="N30" s="4"/>
    </row>
    <row r="31" spans="1:14" ht="409.5" customHeight="1" thickBot="1" x14ac:dyDescent="0.3">
      <c r="A31" s="185"/>
      <c r="B31" s="254" t="s">
        <v>210</v>
      </c>
      <c r="C31" s="54" t="str">
        <f>'Step 1 - System Definition'!O30</f>
        <v>&lt;User Defined&gt;</v>
      </c>
      <c r="D31" s="38" t="e">
        <f>'Step 3 - Consequence Analysis'!#REF!</f>
        <v>#REF!</v>
      </c>
      <c r="E31" s="39" t="e">
        <f>'Step 3 - Consequence Analysis'!#REF!</f>
        <v>#REF!</v>
      </c>
      <c r="F31" s="37" t="s">
        <v>69</v>
      </c>
      <c r="G31" s="8"/>
      <c r="H31" s="4"/>
      <c r="I31" s="4"/>
      <c r="J31" s="4"/>
      <c r="K31" s="4"/>
      <c r="L31" s="4"/>
      <c r="M31" s="4"/>
      <c r="N31" s="4"/>
    </row>
    <row r="32" spans="1:14" ht="396" customHeight="1" thickBot="1" x14ac:dyDescent="0.3">
      <c r="A32" s="186"/>
      <c r="B32" s="255"/>
      <c r="C32" s="55" t="str">
        <f>'Step 1 - System Definition'!O31</f>
        <v>&lt;User Defined&gt;</v>
      </c>
      <c r="D32" s="28" t="e">
        <f>'Step 3 - Consequence Analysis'!#REF!</f>
        <v>#REF!</v>
      </c>
      <c r="E32" s="36" t="e">
        <f>'Step 3 - Consequence Analysis'!#REF!</f>
        <v>#REF!</v>
      </c>
      <c r="F32" s="37" t="s">
        <v>69</v>
      </c>
      <c r="G32" s="15"/>
      <c r="H32" s="4"/>
      <c r="I32" s="4"/>
      <c r="J32" s="4"/>
      <c r="K32" s="4"/>
      <c r="L32" s="4"/>
      <c r="M32" s="4"/>
      <c r="N32" s="4"/>
    </row>
    <row r="33" spans="1:14" ht="396" customHeight="1" thickBot="1" x14ac:dyDescent="0.3">
      <c r="A33" s="187"/>
      <c r="B33" s="256"/>
      <c r="C33" s="56" t="str">
        <f>'Step 1 - System Definition'!O32</f>
        <v>&lt;User Defined&gt;</v>
      </c>
      <c r="D33" s="28" t="str">
        <f>'Step 3 - Consequence Analysis'!D75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3" s="36" t="str">
        <f>'Step 3 - Consequence Analysis'!E75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33" s="188" t="s">
        <v>69</v>
      </c>
      <c r="G33" s="4"/>
      <c r="H33" s="4"/>
      <c r="I33" s="4"/>
      <c r="J33" s="4"/>
      <c r="K33" s="4"/>
      <c r="L33" s="4"/>
      <c r="M33" s="4"/>
      <c r="N33" s="4"/>
    </row>
    <row r="34" spans="1:14" ht="396" customHeight="1" x14ac:dyDescent="0.25">
      <c r="A34" s="173"/>
      <c r="B34" s="86"/>
      <c r="C34" s="180"/>
      <c r="D34" s="181"/>
      <c r="E34" s="181"/>
      <c r="F34" s="182"/>
      <c r="G34" s="4"/>
      <c r="H34" s="4"/>
      <c r="I34" s="4"/>
      <c r="J34" s="4"/>
      <c r="K34" s="4"/>
      <c r="L34" s="4"/>
      <c r="M34" s="4"/>
      <c r="N34" s="4"/>
    </row>
    <row r="35" spans="1:14" ht="396" customHeight="1" x14ac:dyDescent="0.25">
      <c r="A35" s="173"/>
      <c r="B35" s="86"/>
      <c r="C35" s="180"/>
      <c r="D35" s="181"/>
      <c r="E35" s="181"/>
      <c r="F35" s="182"/>
      <c r="G35" s="4"/>
      <c r="H35" s="4"/>
      <c r="I35" s="4"/>
      <c r="J35" s="4"/>
      <c r="K35" s="4"/>
      <c r="L35" s="4"/>
      <c r="M35" s="4"/>
      <c r="N35" s="4"/>
    </row>
    <row r="36" spans="1:14" ht="396" customHeight="1" x14ac:dyDescent="0.25">
      <c r="A36" s="173"/>
      <c r="B36" s="86"/>
      <c r="C36" s="180"/>
      <c r="D36" s="181"/>
      <c r="E36" s="181"/>
      <c r="F36" s="182"/>
    </row>
    <row r="37" spans="1:14" ht="396" customHeight="1" x14ac:dyDescent="0.25">
      <c r="A37" s="173"/>
      <c r="B37" s="86"/>
      <c r="C37" s="180"/>
      <c r="D37" s="181"/>
      <c r="E37" s="181"/>
      <c r="F37" s="182"/>
    </row>
    <row r="38" spans="1:14" ht="396" customHeight="1" x14ac:dyDescent="0.25">
      <c r="A38" s="173"/>
      <c r="B38" s="86"/>
      <c r="C38" s="180"/>
      <c r="D38" s="181"/>
      <c r="E38" s="181"/>
      <c r="F38" s="182"/>
    </row>
    <row r="39" spans="1:14" ht="396" customHeight="1" x14ac:dyDescent="0.25">
      <c r="A39" s="173"/>
      <c r="B39" s="86"/>
      <c r="C39" s="180"/>
      <c r="D39" s="181"/>
      <c r="E39" s="181"/>
      <c r="F39" s="182"/>
    </row>
    <row r="40" spans="1:14" ht="396" customHeight="1" x14ac:dyDescent="0.25">
      <c r="A40" s="173"/>
      <c r="C40" s="180"/>
      <c r="D40" s="181"/>
      <c r="E40" s="181"/>
      <c r="F40" s="182"/>
    </row>
    <row r="41" spans="1:14" ht="396" customHeight="1" x14ac:dyDescent="0.25">
      <c r="A41" s="173"/>
      <c r="C41" s="180"/>
      <c r="D41" s="181"/>
      <c r="E41" s="181"/>
      <c r="F41" s="182"/>
    </row>
    <row r="42" spans="1:14" ht="396" customHeight="1" x14ac:dyDescent="0.25">
      <c r="A42" s="173"/>
      <c r="C42" s="180"/>
      <c r="D42" s="181"/>
      <c r="E42" s="181"/>
      <c r="F42" s="182"/>
    </row>
    <row r="43" spans="1:14" ht="396" customHeight="1" x14ac:dyDescent="0.25">
      <c r="A43" s="173"/>
      <c r="B43" s="86"/>
      <c r="C43" s="180"/>
      <c r="D43" s="181"/>
      <c r="E43" s="181"/>
      <c r="F43" s="182"/>
    </row>
    <row r="44" spans="1:14" ht="396" customHeight="1" x14ac:dyDescent="0.25">
      <c r="A44" s="173"/>
      <c r="B44" s="86"/>
      <c r="C44" s="180"/>
      <c r="D44" s="181"/>
      <c r="E44" s="181"/>
      <c r="F44" s="182"/>
    </row>
    <row r="45" spans="1:14" ht="396" customHeight="1" x14ac:dyDescent="0.25">
      <c r="A45" s="173"/>
      <c r="B45" s="86"/>
      <c r="C45" s="180"/>
      <c r="D45" s="181"/>
      <c r="E45" s="181"/>
      <c r="F45" s="182"/>
    </row>
    <row r="46" spans="1:14" ht="396" customHeight="1" x14ac:dyDescent="0.25">
      <c r="A46" s="173"/>
      <c r="B46" s="86"/>
      <c r="C46" s="180"/>
      <c r="D46" s="181"/>
      <c r="E46" s="181"/>
      <c r="F46" s="182"/>
    </row>
    <row r="47" spans="1:14" ht="396" customHeight="1" x14ac:dyDescent="0.25">
      <c r="A47" s="173"/>
      <c r="B47" s="86"/>
      <c r="C47" s="180"/>
      <c r="D47" s="181"/>
      <c r="E47" s="181"/>
      <c r="F47" s="182"/>
    </row>
    <row r="48" spans="1:14" x14ac:dyDescent="0.25">
      <c r="A48" s="173"/>
      <c r="B48" s="86"/>
      <c r="C48" s="180"/>
      <c r="D48" s="181"/>
      <c r="E48" s="181"/>
      <c r="F48" s="182"/>
    </row>
    <row r="49" s="1" customFormat="1" x14ac:dyDescent="0.25"/>
    <row r="50" s="1" customFormat="1" x14ac:dyDescent="0.25"/>
    <row r="51" s="1" customFormat="1" x14ac:dyDescent="0.25"/>
    <row r="52" s="1" customFormat="1" x14ac:dyDescent="0.25"/>
    <row r="53" s="1" customFormat="1" x14ac:dyDescent="0.25"/>
    <row r="54" s="1" customFormat="1" x14ac:dyDescent="0.25"/>
    <row r="55" s="1" customFormat="1" x14ac:dyDescent="0.25"/>
    <row r="56" s="1" customFormat="1" x14ac:dyDescent="0.25"/>
    <row r="57" s="1" customFormat="1" x14ac:dyDescent="0.25"/>
    <row r="58" s="1" customFormat="1" x14ac:dyDescent="0.25"/>
    <row r="59" s="1" customFormat="1" x14ac:dyDescent="0.25"/>
    <row r="60" s="1" customFormat="1" x14ac:dyDescent="0.25"/>
    <row r="61" s="1" customFormat="1" x14ac:dyDescent="0.25"/>
    <row r="62" s="1" customFormat="1" x14ac:dyDescent="0.25"/>
    <row r="63" s="1" customFormat="1" x14ac:dyDescent="0.25"/>
    <row r="64" s="1" customFormat="1" x14ac:dyDescent="0.25"/>
  </sheetData>
  <mergeCells count="8">
    <mergeCell ref="B28:B29"/>
    <mergeCell ref="B31:B33"/>
    <mergeCell ref="D1:F1"/>
    <mergeCell ref="H3:N5"/>
    <mergeCell ref="B3:B8"/>
    <mergeCell ref="B9:B19"/>
    <mergeCell ref="B20:B23"/>
    <mergeCell ref="B25:B2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Lookups (Keep Hidden)</vt:lpstr>
      <vt:lpstr>CIEGAS Project Details</vt:lpstr>
      <vt:lpstr>NOTICE</vt:lpstr>
      <vt:lpstr>Step 1 - System Definition</vt:lpstr>
      <vt:lpstr>Step 2 - Service Definition</vt:lpstr>
      <vt:lpstr>Step 3 - Consequence Analysis</vt:lpstr>
      <vt:lpstr>Step 4 - Mitigation 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R. Gellner</dc:creator>
  <cp:lastModifiedBy>Benjamin Ruhlig Lampe</cp:lastModifiedBy>
  <dcterms:created xsi:type="dcterms:W3CDTF">2024-07-30T20:02:45Z</dcterms:created>
  <dcterms:modified xsi:type="dcterms:W3CDTF">2026-04-29T16:29:36Z</dcterms:modified>
</cp:coreProperties>
</file>